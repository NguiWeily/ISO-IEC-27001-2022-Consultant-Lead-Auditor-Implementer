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xr:revisionPtr revIDLastSave="483" documentId="13_ncr:1_{578B831C-AFBC-43A2-A9D1-A707B464E147}" xr6:coauthVersionLast="47" xr6:coauthVersionMax="47" xr10:uidLastSave="{F02EE737-5B17-4E48-A0FE-DB78C4C54754}"/>
  <bookViews>
    <workbookView xWindow="-110" yWindow="-110" windowWidth="19420" windowHeight="10300" firstSheet="2" activeTab="2" xr2:uid="{00000000-000D-0000-FFFF-FFFF00000000}"/>
  </bookViews>
  <sheets>
    <sheet name="Findings Criteria" sheetId="4" r:id="rId1"/>
    <sheet name="Gap Analysis Checklist" sheetId="5" r:id="rId2"/>
    <sheet name="Gap Analysis Impl. plan" sheetId="6" r:id="rId3"/>
    <sheet name="Sub-Clauses Implementation" sheetId="9" r:id="rId4"/>
    <sheet name="Main Clauses Implementation" sheetId="8" r:id="rId5"/>
    <sheet name="Implementation Progress Charts " sheetId="10" r:id="rId6"/>
    <sheet name="Transition (N-A, historical)" sheetId="12" state="visible" r:id="rId99"/>
  </sheets>
  <definedNames>
    <definedName name="_xlnm._FilterDatabase" localSheetId="1" hidden="1">'Gap Analysis Checklist'!$A$3:$K$246</definedName>
    <definedName name="_xlnm._FilterDatabase" localSheetId="2" hidden="1">'Gap Analysis Impl. plan'!$A$3:$N$246</definedName>
    <definedName name="_xlnm._FilterDatabase" localSheetId="4" hidden="1">'Main Clauses Implementation'!$A$3:$G$10</definedName>
    <definedName name="_xlnm._FilterDatabase" localSheetId="3" hidden="1">'Sub-Clauses Implementation'!$A$3:$G$30</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<sst xmlns="http://schemas.openxmlformats.org/spreadsheetml/2006/main" count="810" uniqueCount="518">
  <si>
    <t>Findings Criteria</t>
  </si>
  <si>
    <t>Finding</t>
  </si>
  <si>
    <t>Meanining</t>
  </si>
  <si>
    <t>Comply</t>
  </si>
  <si>
    <t>OFI</t>
  </si>
  <si>
    <t>NC</t>
  </si>
  <si>
    <t>Nonconformance</t>
  </si>
  <si>
    <t>Description</t>
  </si>
  <si>
    <t>Ref.</t>
  </si>
  <si>
    <t>Clause No.</t>
  </si>
  <si>
    <t>Main Clauses</t>
  </si>
  <si>
    <t>ISO 9001 Questions</t>
  </si>
  <si>
    <t>Objective Evidence  (if comply)</t>
  </si>
  <si>
    <t>High Level Cause</t>
  </si>
  <si>
    <t>Main Root Cause
 (Partial Compliance)</t>
  </si>
  <si>
    <t>Proposed Remedial Action
(Partial Compliance)</t>
  </si>
  <si>
    <t>Main Root Cause
(Non Comply)</t>
  </si>
  <si>
    <t>Proposed Remedial Action
(Non Comply)</t>
  </si>
  <si>
    <t>4. Context</t>
  </si>
  <si>
    <t>5. Leadership</t>
  </si>
  <si>
    <t>6. Planning</t>
  </si>
  <si>
    <t>7. Support</t>
  </si>
  <si>
    <t>8. Operation</t>
  </si>
  <si>
    <t>9. Evaluation</t>
  </si>
  <si>
    <t xml:space="preserve">10. Improvement </t>
  </si>
  <si>
    <t>Description of Gap Identified</t>
  </si>
  <si>
    <t>Proposed Remedial Action
 (OFI or NC)</t>
  </si>
  <si>
    <t>Responsibilities &amp; Resources</t>
  </si>
  <si>
    <t>Deliverables &amp; Outputs</t>
  </si>
  <si>
    <t>Planned Start Date</t>
  </si>
  <si>
    <t>Planned Finish Date</t>
  </si>
  <si>
    <t>Activity Progress %</t>
  </si>
  <si>
    <t>Status</t>
  </si>
  <si>
    <t>Comments</t>
  </si>
  <si>
    <t>Sub-Clauses Implementation</t>
  </si>
  <si>
    <t>Sub-Clause No.</t>
  </si>
  <si>
    <t>Sub- Clauses</t>
  </si>
  <si>
    <t>Main Clauses Implementation</t>
  </si>
  <si>
    <t>Implementation Progress- Charts</t>
  </si>
  <si>
    <t>Context of the Organization</t>
  </si>
  <si>
    <t>Understanding the organization and its context</t>
  </si>
  <si>
    <t>Has the organization determined whether climate change is a relevant issue?</t>
  </si>
  <si>
    <t>Planning</t>
  </si>
  <si>
    <t>Support</t>
  </si>
  <si>
    <t>Resources</t>
  </si>
  <si>
    <t>Competence</t>
  </si>
  <si>
    <t>Awareness</t>
  </si>
  <si>
    <t>Operation</t>
  </si>
  <si>
    <t>Improvement</t>
  </si>
  <si>
    <t>Leadership and commitment</t>
  </si>
  <si>
    <t>Organizational roles, responsibilities and authorities</t>
  </si>
  <si>
    <t>Actions to address risks and opportunities</t>
  </si>
  <si>
    <t>Communication</t>
  </si>
  <si>
    <t>The organization possesses evidence to support the requirment, and/or</t>
  </si>
  <si>
    <t>The organization possesses a documented information</t>
  </si>
  <si>
    <t>The organization possesses objective evidence, but not supported ddocumented information , and/or</t>
  </si>
  <si>
    <t>The organization possesses evidence, but documented information required 
improvement, and/or</t>
  </si>
  <si>
    <t>The organization possesses a documented information, but is lacking objective 
evidence</t>
  </si>
  <si>
    <t>The organization has no objective evidence, and/or</t>
  </si>
  <si>
    <t>The organization is lacking a documented Information, and/or</t>
  </si>
  <si>
    <t xml:space="preserve">Findings Criteria </t>
  </si>
  <si>
    <t>Comply with the standard requirements</t>
  </si>
  <si>
    <t>Improvement is required</t>
  </si>
  <si>
    <t>Does not comply with the standard requirements</t>
  </si>
  <si>
    <t>Improvement actions are needed to comply</t>
  </si>
  <si>
    <t>Annex A.5</t>
  </si>
  <si>
    <t>Annex A.6</t>
  </si>
  <si>
    <t>Annex A.7</t>
  </si>
  <si>
    <t>Annex A.8</t>
  </si>
  <si>
    <t>Annex A. 5.Organizational controls</t>
  </si>
  <si>
    <t>Annex A. 
6.People controls</t>
  </si>
  <si>
    <t>Annex A. 
7.Physical controls</t>
  </si>
  <si>
    <t>Annex A. 
7.Technological controls</t>
  </si>
  <si>
    <t>Annex A. Information security controls</t>
  </si>
  <si>
    <t>4. Context of the organization</t>
  </si>
  <si>
    <t>Q1-4.1</t>
  </si>
  <si>
    <t>Has the organization identified external and internal issues that are relevant to its purpose and that affect its ability to achieve the intended outcomes of the ISMS?</t>
  </si>
  <si>
    <t>Q1-4.1 amd.</t>
  </si>
  <si>
    <t>Understanding needs and expectations of interested parties</t>
  </si>
  <si>
    <t>Q2-4.2</t>
  </si>
  <si>
    <t>Has the organization determined the interested parties (e.g., customers, regulators, partners) that are relevant to the ISMS, and the requirements of these parties (including legal, regulatory, and contractual requirements) with respect to information security?</t>
  </si>
  <si>
    <t>Q2-4.2 amd.</t>
  </si>
  <si>
    <t>Has the organization determined the existence of applicable requirements related to climate change from relevant interested parties?</t>
  </si>
  <si>
    <t>Determining the scope of the information security management system</t>
  </si>
  <si>
    <t>Q3-4.3</t>
  </si>
  <si>
    <t>Has the organization determined the Scope of the ISMS?</t>
  </si>
  <si>
    <t>Q4-4.3.a</t>
  </si>
  <si>
    <t>When defining the scope of the ISMS, has the organization considered the external and internal issues identified in 4.1?</t>
  </si>
  <si>
    <t>Q5-4.3.b</t>
  </si>
  <si>
    <t>When defining the ISMS scope, has the organization taken into account the information security requirements of interested parties identified in 4.2?</t>
  </si>
  <si>
    <t>Q6-4.3.c</t>
  </si>
  <si>
    <t>Has the organization considered interfaces and dependencies between in-scope activities and those performed by other parties when establishing the ISMS scope?</t>
  </si>
  <si>
    <t>Q7-4.3</t>
  </si>
  <si>
    <t>Is the scope of the ISMS defined and available as documented information (including the boundaries and applicability of the ISMS)?</t>
  </si>
  <si>
    <t>Information security management system</t>
  </si>
  <si>
    <t>Q8-4.4</t>
  </si>
  <si>
    <t>Has the organization established, implemented, maintains, and continually improves an ISMS (including all necessary processes and their interactions) in accordance with ISO 27001 requirements?</t>
  </si>
  <si>
    <t xml:space="preserve"> Leadership</t>
  </si>
  <si>
    <t>Q9-5.1.a</t>
  </si>
  <si>
    <t>Has top management ensured that the information security policy and objectives are established and are compatible with the organization’s strategic direction?</t>
  </si>
  <si>
    <t>Q10-5.1.b</t>
  </si>
  <si>
    <t>Has top management ensured the integration of ISMS requirements into the organization’s business processes?</t>
  </si>
  <si>
    <t>Q11-5.1.c</t>
  </si>
  <si>
    <t>Has top management ensured that the resources needed for the ISMS are available?</t>
  </si>
  <si>
    <t>Q12-5.1.d</t>
  </si>
  <si>
    <t>Has top management communicated the importance of effective information security management and of conforming to ISMS requirements?</t>
  </si>
  <si>
    <t>Q13-5.1.e</t>
  </si>
  <si>
    <t>Has top management ensured that the ISMS achieves its intended outcomes (i.e., information security objectives and risk mitigation)?</t>
  </si>
  <si>
    <t>Q14-5.1.f</t>
  </si>
  <si>
    <t>Is top management directing and supporting persons to contribute to the effectiveness of the ISMS?</t>
  </si>
  <si>
    <t>Q15-5.1.g</t>
  </si>
  <si>
    <t>Is top management promoting continual improvement of the ISMS?</t>
  </si>
  <si>
    <t>Q16-5.1.h</t>
  </si>
  <si>
    <t>Is top management supporting other relevant managers to demonstrate leadership in information security within their areas of responsibility?</t>
  </si>
  <si>
    <t>Policy</t>
  </si>
  <si>
    <t>Q17-5.2.a</t>
  </si>
  <si>
    <t>Has top management established an information security policy that is appropriate to the purpose of the organization (i.e., aligned with the organization’s purpose, context, and goals)?</t>
  </si>
  <si>
    <t>Q18-5.2.b</t>
  </si>
  <si>
    <t>Does the information security policy include information security objectives or provide a framework for setting such objectives?</t>
  </si>
  <si>
    <t>Q19-5.2.c</t>
  </si>
  <si>
    <t>Does the policy include a commitment to satisfy applicable information security requirements (e.g. legal, regulatory, contractual and other requirements)?</t>
  </si>
  <si>
    <t>Q20-5.2.d</t>
  </si>
  <si>
    <t>Does the information security policy include a commitment to continual improvement of the ISMS?</t>
  </si>
  <si>
    <t>Q21-5.2.e</t>
  </si>
  <si>
    <t>Is the information security policy available as documented information (i.e., documented, approved, and kept on record)?</t>
  </si>
  <si>
    <t>Q22-5.2.f</t>
  </si>
  <si>
    <t>Is the information security policy communicated within the organization to all relevant employees and stakeholders?</t>
  </si>
  <si>
    <t>Q23-5.2.g</t>
  </si>
  <si>
    <t>Is the information security policy available to interested parties, as appropriate (e.g., published for customers or regulators, if required)?</t>
  </si>
  <si>
    <t>Q24-5.3</t>
  </si>
  <si>
    <t>Are the information security roles, responsibilities, and authorities for relevant roles clearly assigned and communicated within the organization?</t>
  </si>
  <si>
    <t>Q25-5.3.a</t>
  </si>
  <si>
    <t>Has top management assigned responsibility and authority for ensuring that the ISMS conforms to ISO 27001 requirements?</t>
  </si>
  <si>
    <t>Q26-5.3.b</t>
  </si>
  <si>
    <t>Has top management assigned responsibility and authority for reporting on the performance of the ISMS to top management?</t>
  </si>
  <si>
    <t>Q27-6.1.1.a</t>
  </si>
  <si>
    <t>Has the organization determined the risks and opportunities that need to be addressed to ensure the ISMS can achieve its intended outcomes?</t>
  </si>
  <si>
    <t>Q28-6.1.1.b</t>
  </si>
  <si>
    <t>Has the organization determined the risks and opportunities that need to be addressed to prevent or reduce undesired effects in the ISMS?</t>
  </si>
  <si>
    <t>Q29-6.1.1.c</t>
  </si>
  <si>
    <t>Has the organization identified risks and opportunities to be addressed in order to achieve continual improvement of the ISMS?</t>
  </si>
  <si>
    <t>Q30-6.1.1.d</t>
  </si>
  <si>
    <t>Has the organization planned actions to address the identified information security risks and opportunities?</t>
  </si>
  <si>
    <t>Q31-6.1.1.e1</t>
  </si>
  <si>
    <t>Has the organization planned how to integrate and implement these actions into its ISMS processes?</t>
  </si>
  <si>
    <t>Q32-6.1.1.e2</t>
  </si>
  <si>
    <t>Has the organization planned how it will evaluate the effectiveness of these actions addressing risks and opportunities?</t>
  </si>
  <si>
    <t>Q33-6.1.2.a</t>
  </si>
  <si>
    <t>Has the organization defined and applied an information security risk assessment process that establishes and maintains risk criteria (including risk acceptance criteria and criteria for performing risk assessments)?</t>
  </si>
  <si>
    <t>Q34-6.1.2.b</t>
  </si>
  <si>
    <t>Does the risk assessment process ensure that repeated information security risk assessments produce consistent, valid, and comparable results?</t>
  </si>
  <si>
    <t>Q35-6.1.2.c</t>
  </si>
  <si>
    <t>Does the organization apply the risk assessment process to identify information security risks within the ISMS scope, including risks associated with loss of confidentiality, integrity, and availability of information, and identify risk owners for those risks?</t>
  </si>
  <si>
    <t>Q36-6.1.2.d</t>
  </si>
  <si>
    <t>Are the identified information security risks analyzed, including assessment of potential consequences (impact) if the risks materialize, and the realistic likelihood of occurrence, in order to determine risk levels?</t>
  </si>
  <si>
    <t>Q37-6.1.2.e</t>
  </si>
  <si>
    <t>Are the information security risks evaluated by comparing the analyzed risk levels against the established risk criteria, and are the risks prioritized for treatment?</t>
  </si>
  <si>
    <t>Q38-6.1.2</t>
  </si>
  <si>
    <t>Does the organization retain documented information on the information security risk assessment process and results?</t>
  </si>
  <si>
    <t>Q39-6.1.3.a</t>
  </si>
  <si>
    <t>Has the organization defined and applied an information security risk treatment process to select appropriate risk treatment options for the identified risks, taking into account the risk assessment results?</t>
  </si>
  <si>
    <t>Q40-6.1.3.b</t>
  </si>
  <si>
    <t>Has the organization determined all controls that are necessary to implement the chosen risk treatment option(s)?</t>
  </si>
  <si>
    <t>Q41-6.1.3.c</t>
  </si>
  <si>
    <t>Has the organization compared the controls determined in 6.1.3(b) with those listed in Annex A to ensure no necessary controls have been omitted?</t>
  </si>
  <si>
    <t>Q42-6.1.3.d</t>
  </si>
  <si>
    <t>Has the organization produced a Statement of Applicability (SoA) that includes: the necessary controls (from 6.1.3 b and c), justification for including those controls, whether they are implemented or not, and justification for excluding any Annex A controls?</t>
  </si>
  <si>
    <t>Q43-6.1.3.e</t>
  </si>
  <si>
    <t>Has the organization formulated an information security risk treatment plan (documenting how and when each chosen treatment will be implemented, by whom, with what resources)?</t>
  </si>
  <si>
    <t>Q44-6.1.3.f</t>
  </si>
  <si>
    <t>Has the organization obtained risk owners’ approval of the risk treatment plan and their acceptance of the residual information security risks?</t>
  </si>
  <si>
    <t>Q45-6.1.3</t>
  </si>
  <si>
    <t>Does the organization retain documented information about the risk treatment process (e.g., records of risk treatment decisions, the SoA, risk treatment plans)?</t>
  </si>
  <si>
    <t>Information security objectives and planning to achieve them</t>
  </si>
  <si>
    <t>Q46-6.2.a</t>
  </si>
  <si>
    <t>Has the organization established information security objectives at relevant functions and levels, and are these objectives consistent with the information security policy?</t>
  </si>
  <si>
    <t>Q47-6.2.b</t>
  </si>
  <si>
    <t>Are the information security objectives measurable (if practicable) and defined in such a way that progress can be assessed?</t>
  </si>
  <si>
    <t>Q48-6.2.c</t>
  </si>
  <si>
    <t>Do the information security objectives take into account applicable information security requirements and the results of risk assessment and risk treatment?</t>
  </si>
  <si>
    <t>Q49-6.2.d</t>
  </si>
  <si>
    <t>Are the information security objectives monitored (i.e., does the organization measure progress towards these objectives)?</t>
  </si>
  <si>
    <t>Q50-6.2.e</t>
  </si>
  <si>
    <t>Are the information security objectives communicated to relevant personnel within the organization?</t>
  </si>
  <si>
    <t>Q51-6.2.f</t>
  </si>
  <si>
    <t>Are the information security objectives reviewed and updated as appropriate (e.g., when significant changes occur or during management reviews) to ensure they remain relevant?</t>
  </si>
  <si>
    <t>Q52-6.2</t>
  </si>
  <si>
    <t>Has the organization planned how to achieve its information security objectives, including determining what will be done, what resources are required, who will be responsible, when the objectives will be achieved, and how the results will be evaluated?</t>
  </si>
  <si>
    <t>Q53-6.3</t>
  </si>
  <si>
    <t>Are changes to the ISMS carried out in a planned manner (i.e., is there a defined process to plan and control changes to the ISMS)?intelliant.de</t>
  </si>
  <si>
    <t>Q54-7.1</t>
  </si>
  <si>
    <t>Has the organization determined and provided the necessary resources for establishing, implementing, maintaining, and continually improving the ISMS?</t>
  </si>
  <si>
    <t>Q55-7.2.a</t>
  </si>
  <si>
    <t>Has the organization determined the competence requirements for personnel whose work affects the ISMS (including skills, training, and experience needed)?</t>
  </si>
  <si>
    <t>Q56-7.2.b</t>
  </si>
  <si>
    <t>Has the organization ensured that these persons are competent (e.g., through appropriate education, training, or experience), and where gaps are identified, taken actions to acquire the necessary competence?</t>
  </si>
  <si>
    <t>Q57-7.2.c</t>
  </si>
  <si>
    <t>Does the organization evaluate the effectiveness of actions taken to acquire competence (if any) and retain documented information as evidence of competencies (e.g., training records, certifications)?</t>
  </si>
  <si>
    <t>Q58-7.3.a</t>
  </si>
  <si>
    <t>Are persons doing work under the organization’s control aware of the information security policy?</t>
  </si>
  <si>
    <t>Q59-7.3.b</t>
  </si>
  <si>
    <t>Are persons under the organization’s control aware of their contribution to the effectiveness of the ISMS, including the benefits of improved information security performance?</t>
  </si>
  <si>
    <t>Q60-7.3.c</t>
  </si>
  <si>
    <t>Are these persons aware of the implications of not conforming to the ISMS requirements (e.g., potential security breaches, penalties, or other consequences)?</t>
  </si>
  <si>
    <t>Q61-7.4.a</t>
  </si>
  <si>
    <t>Has the organization determined what it will communicate internally and externally that is relevant to the ISMS (the content of communications)?</t>
  </si>
  <si>
    <t>Q62-7.4.b</t>
  </si>
  <si>
    <t>Has the organization determined when to communicate (the appropriate timing/frequency of ISMS-related communications)?</t>
  </si>
  <si>
    <t>Q63-7.4.c</t>
  </si>
  <si>
    <t>Has the organization determined with whom to communicate (the target audiences for information security communications, both internal and external)?</t>
  </si>
  <si>
    <t>Q64-7.4.d</t>
  </si>
  <si>
    <t>Has the organization determined how to communicate (including the methods, channels or processes by which ISMS information will be communicated)?</t>
  </si>
  <si>
    <t>Documented information</t>
  </si>
  <si>
    <t>Q65-7.5.1</t>
  </si>
  <si>
    <t>Does the ISMS include all documented information required by ISO 27001:2022, as well as any additional documented information the organization deems necessary for the effectiveness of the ISMS?</t>
  </si>
  <si>
    <t>Q66-7.5.2.a</t>
  </si>
  <si>
    <t>When creating and updating documented information, does the organization ensure appropriate identification and description (e.g., title, date, author, reference number) of documents?</t>
  </si>
  <si>
    <t>Q67-7.5.2.b</t>
  </si>
  <si>
    <t>When creating/updating documented information, does the organization ensure the appropriate format (e.g., language, software version, graphics) and media (paper/electronic) are used?</t>
  </si>
  <si>
    <t>Q68-7.5.2.c</t>
  </si>
  <si>
    <t>Does the organization review and approve documented information for adequacy and suitability before use (i.e., ensure documents are reviewed and approved)?</t>
  </si>
  <si>
    <t>Q69-7.5.3.a</t>
  </si>
  <si>
    <t>Are documented information required by the ISMS controlled to ensure it is available and suitable for use where and when it is needed?</t>
  </si>
  <si>
    <t>Q70-7.5.3.b</t>
  </si>
  <si>
    <t>Are documented information controlled to ensure it is adequately protected (e.g., from loss of confidentiality, improper use, or loss of integrity)?</t>
  </si>
  <si>
    <t>Q71-7.5.3.c</t>
  </si>
  <si>
    <t>Has the organization addressed controls for distribution, access, retrieval, and use of documented information (to ensure only authorized persons can obtain and modify them)?</t>
  </si>
  <si>
    <t>Q72-7.5.3.d</t>
  </si>
  <si>
    <t>Has the organization addressed the storage and preservation of documented information (including maintaining legibility and protection over time)?</t>
  </si>
  <si>
    <t>Q73-7.5.3.e</t>
  </si>
  <si>
    <t>Has the organization controlled changes of documented information (e.g., version control procedures for updating documents)?</t>
  </si>
  <si>
    <t>Q74-7.5.3.f</t>
  </si>
  <si>
    <t>Has the organization defined and implemented controls for retention and disposition of documented information (how long records are kept and how they are disposed)?</t>
  </si>
  <si>
    <t>Q75-7.5.3</t>
  </si>
  <si>
    <t>Are documented information of external origin, determined to be necessary for the planning and operation of the ISMS (e.g., documents from vendors or regulators), identified and controlled appropriately?</t>
  </si>
  <si>
    <t>Operational planning and control</t>
  </si>
  <si>
    <t>Q76-8.1.a</t>
  </si>
  <si>
    <t>Has the organization planned, implemented, and controlled the processes needed to meet ISMS requirements and implement the actions from Clause 6? Specifically, have criteria been established for these information security processes?</t>
  </si>
  <si>
    <t>Q77-8.1.b</t>
  </si>
  <si>
    <t>Are the information security processes being implemented and controlled in accordance with the established criteria (i.e., processes are performed as planned)?</t>
  </si>
  <si>
    <t>Q78-8.1.c</t>
  </si>
  <si>
    <t>Is documented information available to confirm that the processes have been carried out as planned (records of operational activities)?</t>
  </si>
  <si>
    <t>Q79-8.1.d</t>
  </si>
  <si>
    <t>Are changes to ISMS processes carried out in a planned manner and controlled? And are any unintended changes reviewed with actions taken to mitigate adverse effects, if applicable?</t>
  </si>
  <si>
    <t>Q80-8.1.e</t>
  </si>
  <si>
    <t>If any ISMS processes are outsourced, does the organization ensure that they are controlled (i.e., requirements for outsourced processes are defined and monitored)?</t>
  </si>
  <si>
    <t>Information security risk assessment.</t>
  </si>
  <si>
    <t>Q81-8.2</t>
  </si>
  <si>
    <t>Does the organization perform information security risk assessments at planned intervals and when significant changes occur, to ensure that new and existing risks are identified and evaluated, and are the results of these risk assessments retained as documented information?</t>
  </si>
  <si>
    <t>Information security risk treatment</t>
  </si>
  <si>
    <t>Q82-8.3</t>
  </si>
  <si>
    <t>Has the organization implemented the information security risk treatment plan, ensuring that chosen risk treatments are effectively carried out, and does it retain documented information about the results of risk treatment (residual risks, status of risk treatments)?</t>
  </si>
  <si>
    <t>9. Performance evaluation</t>
  </si>
  <si>
    <t>Performance evaluation</t>
  </si>
  <si>
    <t>Monitoring, measurement, analysis and evaluation</t>
  </si>
  <si>
    <t>Q83-9.1.a</t>
  </si>
  <si>
    <t>Has the organization determined what needs to be monitored and measured regarding the ISMS (including which information security processes and controls to monitor)?</t>
  </si>
  <si>
    <t>Q84-9.1.b</t>
  </si>
  <si>
    <t>Has the organization determined the methods for monitoring, measurement, analysis, and evaluation needed to ensure valid results (including ensuring results are comparable and reproducible, where applicable)?</t>
  </si>
  <si>
    <t>Q85-9.1.c</t>
  </si>
  <si>
    <t>Has the organization determined when monitoring and measurement shall be performed (the frequency or timing of various ISMS monitoring activities)?</t>
  </si>
  <si>
    <t>Q86-9.1.d</t>
  </si>
  <si>
    <t>Has the organization determined who will carry out the monitoring and measuring activities for the ISMS (assigned personnel or roles)?</t>
  </si>
  <si>
    <t>Q87-9.1.e</t>
  </si>
  <si>
    <t>Has the organization determined when the results from monitoring and measurement will be analyzed and evaluated (e.g., in regular intervals or review meetings)?</t>
  </si>
  <si>
    <t>Q88-9.1.f</t>
  </si>
  <si>
    <t>Has the organization determined who will analyze and evaluate the monitoring and measurement results (assigned roles for reviewing ISMS performance data)?</t>
  </si>
  <si>
    <t>Q89-9.1</t>
  </si>
  <si>
    <t>Does the organization retain documented information as evidence of the monitoring and measurement results, and has it evaluated the information security performance and the effectiveness of the ISMS (based on those results)?</t>
  </si>
  <si>
    <t>Internal audit</t>
  </si>
  <si>
    <t>Q90-9.2.1</t>
  </si>
  <si>
    <t>Are internal ISMS audits conducted at planned intervals to provide information on whether the ISMS conforms to ISO 27001 requirements and the organization’s own ISMS requirements, and whether it is effectively implemented and maintained?</t>
  </si>
  <si>
    <t>Q91-9.2.2.a</t>
  </si>
  <si>
    <t>Has the organization established, implemented, and maintains an internal audit programme for the ISMS, including defining the audit frequency, audit methods, responsibilities, planning requirements, and reporting of audits, taking into account the importance of the processes concerned, changes affecting the organization, and the results of previous audits?</t>
  </si>
  <si>
    <t>Q92-9.2.2.b</t>
  </si>
  <si>
    <t>For each ISMS internal audit, are the audit criteria and scope defined?</t>
  </si>
  <si>
    <t>Q93-9.2.2.c</t>
  </si>
  <si>
    <t>Are auditors selected and audits conducted in a manner that ensures objectivity and impartiality of the audit process (i.e., auditors are independent of the areas being audited)?</t>
  </si>
  <si>
    <t>Q94-9.2.2.d</t>
  </si>
  <si>
    <t>Are the results of ISMS internal audits reported to relevant management?</t>
  </si>
  <si>
    <t>Q95-9.2.2.e</t>
  </si>
  <si>
    <t>Does the organization retain documented information as evidence of the implementation of the audit programme and the audit results (e.g., internal audit plans and reports)?</t>
  </si>
  <si>
    <t>Management review</t>
  </si>
  <si>
    <t>Q96-9.3.1</t>
  </si>
  <si>
    <t>Does top management review the organization’s ISMS at planned intervals to ensure its continuing suitability, adequacy, and effectiveness (i.e., is a management review of the ISMS conducted regularly)?</t>
  </si>
  <si>
    <t>Q97-9.3.2.a</t>
  </si>
  <si>
    <t>Does the management review consider the status of actions from previous management reviews of the ISMS?</t>
  </si>
  <si>
    <t>Q98-9.3.2.b</t>
  </si>
  <si>
    <t>Does the management review consider changes in external and internal issues that are relevant to the ISMS (e.g., changes in business, security landscape, legal requirements)?</t>
  </si>
  <si>
    <t>Q99-9.3.2.c</t>
  </si>
  <si>
    <t>Does the management review evaluate information on the ISMS performance and effectiveness, including trends or indicators such as results of audits, information security incident reports or events, nonconformities and corrective actions, monitoring and measurement results, and the extent to which objectives have been met?</t>
  </si>
  <si>
    <t>Q100-9.3.2.d</t>
  </si>
  <si>
    <t>Does the management review consider the status of identified risks and opportunities for the ISMS, and any additional factors such as security incidents or feedback from interested parties that could affect the ISMS?</t>
  </si>
  <si>
    <t>Q101-9.3.2.e</t>
  </si>
  <si>
    <t>Does the management review consider opportunities for continual improvement of the ISMS and any need for changes to the ISMS (including changes to the ISMS policy, objectives, controls, or resources)?</t>
  </si>
  <si>
    <t>Q102-9.3.3</t>
  </si>
  <si>
    <t>Do the outputs of the management review include decisions and actions related to: improvements of the ISMS, any needed changes to the ISMS (e.g., updates to policies, objectives, controls), resource needs, and any other actions identified to address issues or opportunities?</t>
  </si>
  <si>
    <t>10. Improvement</t>
  </si>
  <si>
    <t>Continual improvement</t>
  </si>
  <si>
    <t>Q103-10.1.a</t>
  </si>
  <si>
    <t>When an information security nonconformity (e.g., a failure to meet a requirement or a security incident) occurs, does the organization react by taking action to control and correct it and dealing with the consequences (mitigating any adverse effects)?</t>
  </si>
  <si>
    <t>Q104-10.1.b1</t>
  </si>
  <si>
    <t>Does the organization evaluate the need for corrective action by reviewing the nonconformity and determining the causes of the nonconformity?</t>
  </si>
  <si>
    <t>Q105-10.1.b2</t>
  </si>
  <si>
    <t>As part of evaluating the need for action, does the organization determine if similar nonconformities exist or could potentially occur elsewhere (to prevent recurrence in other areas)?</t>
  </si>
  <si>
    <t>Q106-10.1.c</t>
  </si>
  <si>
    <t>Does the organization implement corrective actions needed to address the root cause of the nonconformity, appropriate to the significance of the problem?</t>
  </si>
  <si>
    <t>Q107-10.1.d</t>
  </si>
  <si>
    <t>After corrective actions are taken, does the organization review or evaluate the effectiveness of these actions (to ensure the nonconformity has been resolved and will not recur)?</t>
  </si>
  <si>
    <t>Q108-10.1.e</t>
  </si>
  <si>
    <t>Does the organization update information security risk assessments, risk treatments, or other necessary ISMS documentation and controls if needed, based on the nonconformity and corrective action (e.g., adjust controls or procedures to prevent recurrence)?</t>
  </si>
  <si>
    <t>Q109-10.1.f</t>
  </si>
  <si>
    <t>Does the organization make any needed changes to the ISMS as a result of the nonconformity and corrective action (including changes to policies, processes, or resource allocations if appropriate)?</t>
  </si>
  <si>
    <t>Q110-10.1</t>
  </si>
  <si>
    <t>Does the organization retain documented information that describes the nature of the nonconformities, the actions taken (including corrective actions), and the results of any corrective action?</t>
  </si>
  <si>
    <t>Nonconformity and corrective action</t>
  </si>
  <si>
    <t>Q111-10.2</t>
  </si>
  <si>
    <t>Is there evidence that the organization continually improves the suitability, adequacy, and effectiveness of the ISMS (for example, through ongoing refinement of ISMS processes, controls, and use of lessons learned)?</t>
  </si>
  <si>
    <t>Organizational controls</t>
  </si>
  <si>
    <t>Q112-A.5.1</t>
  </si>
  <si>
    <t>Are there documented information security policies in place that provide a clear framework for managing information security throughout the organization (approved by management and communicated to employees)?</t>
  </si>
  <si>
    <t>Q113-A.5.2</t>
  </si>
  <si>
    <t>Have specific information security roles and responsibilities been defined and allocated (to individuals or teams), and are they communicated within the organization (so everyone knows who is responsible for what in the ISMS)?</t>
  </si>
  <si>
    <t>Q114-A.5.3</t>
  </si>
  <si>
    <t>Are duties and areas of responsibility separated (segregated) to reduce opportunities for unauthorized or unintentional modification of information, or misuse of the organization’s assets (e.g., no single person has end-to-end control that could lead to a conflict of interest)?</t>
  </si>
  <si>
    <t>Q115-A.5.4</t>
  </si>
  <si>
    <t>Does management ensure oversight and accountability for information security, including reviewing security performance and supporting the ISMS (e.g., is management fulfilling all their ISMS responsibilities such as approving policies, allocating resources, etc.)?</t>
  </si>
  <si>
    <t>Q116-A.5.5</t>
  </si>
  <si>
    <t>Has the organization established appropriate contacts with relevant authorities or regulators (e.g., law enforcement, data protection authorities) to facilitate timely communication and support on information security matters (such as incident reporting or compliance)?</t>
  </si>
  <si>
    <t>Q117-A.5.6</t>
  </si>
  <si>
    <t>Is the organization engaging with special interest groups or professional security forums (e.g., industry groups, information sharing forums) to stay informed about information security threats, trends, or best practices?</t>
  </si>
  <si>
    <t>Q118-A.5.7</t>
  </si>
  <si>
    <t>Does the organization gather and utilize threat intelligence (e.g. information about new threats, vulnerabilities, or attack techniques) to enhance its information security posture and prepare against potential attacks?</t>
  </si>
  <si>
    <t>Q119-A.5.8</t>
  </si>
  <si>
    <t>Are information security considerations integrated into project management so that security risks are identified and addressed in projects (for example, are new projects assessed for security impacts and controls embedded from the start)?</t>
  </si>
  <si>
    <t>Q120-A.5.9</t>
  </si>
  <si>
    <t>Does the organization maintain an up-to-date inventory of information assets and associated assets (such as hardware, software, data, facilities), including assigning owners for each asset?</t>
  </si>
  <si>
    <t>Q121-A.5.10</t>
  </si>
  <si>
    <t>Has the organization defined and implemented an acceptable use policy for information and assets (e.g., rules for acceptable use of IT systems, email, Internet, devices), and is it communicated to all users?</t>
  </si>
  <si>
    <t>Q122-A.5.11</t>
  </si>
  <si>
    <t>Upon termination or change of employment (or contract), does the organization ensure that all organizational assets (e.g., laptops, ID cards, storage media, documents) issued to the individual are returned and secured?</t>
  </si>
  <si>
    <t>Q123-A.5.12</t>
  </si>
  <si>
    <t>Has the organization classified information into appropriate categories (e.g., confidential, internal, public) based on its sensitivity and criticality, to ensure it receives an appropriate level of protection?</t>
  </si>
  <si>
    <t>Q124-A.5.13</t>
  </si>
  <si>
    <t>Are there procedures to ensure that information (and media) is labeled according to its classification (so that people know how to handle and protect it according to its sensitivity)?</t>
  </si>
  <si>
    <t>Q125-A.5.14</t>
  </si>
  <si>
    <t>Are there controls in place to protect information during its transfer (electronically or physically), such as encryption for electronic data in transit, and procedures for secure transfer of files, emails, or documents (including agreements or cautions when sharing data with third parties)?</t>
  </si>
  <si>
    <t>Q126-A.5.15</t>
  </si>
  <si>
    <t>Are rules for user access control defined and implemented (e.g., an access control policy that outlines how access rights are granted, modified, and revoked for systems and data)?</t>
  </si>
  <si>
    <t>Q127-A.5.16</t>
  </si>
  <si>
    <t>Has the organization established an identity management process to ensure that the identity of users (or systems) is verified and managed, and that only legitimate identities can access information systems (e.g., unique user IDs, use of authentication mechanisms)?</t>
  </si>
  <si>
    <t>Q128-A.5.17</t>
  </si>
  <si>
    <t>Are there controls to securely manage authentication information (such as passwords, cryptographic keys, tokens) – for example, ensuring strong password policies, secure storage and transmission of credentials, and proper handling of default passwords?</t>
  </si>
  <si>
    <t>Q129-A.5.18</t>
  </si>
  <si>
    <t>Are user access rights regularly reviewed and adjusted in line with the principle of least privilege (i.e., users have the minimum access necessary), and is there a process to promptly remove or modify access when roles change or users leave?</t>
  </si>
  <si>
    <t>Q130-A.5.19</t>
  </si>
  <si>
    <t>Does the organization ensure that information security is managed in supplier relationships (e.g., by identifying security requirements for suppliers, assessing supplier security, and monitoring their compliance)?</t>
  </si>
  <si>
    <t>Q131-A.5.20</t>
  </si>
  <si>
    <t>Do supplier and partner contracts include appropriate information security clauses (covering things like data protection, confidentiality, incident reporting, etc.), reflecting the organization’s security requirements?</t>
  </si>
  <si>
    <t>Q132-A.5.21</t>
  </si>
  <si>
    <t>Does the organization assess and manage risks associated with its ICT supply chain (e.g., hardware, software, cloud services providers), including validating that suppliers meet required security controls?</t>
  </si>
  <si>
    <t>Q133-A.5.22</t>
  </si>
  <si>
    <t>Are supplier services monitored and reviewed for information security performance, and are changes to supplier services (or changes at the supplier) managed to ensure they do not compromise security?</t>
  </si>
  <si>
    <t>Q134-A.5.23</t>
  </si>
  <si>
    <t>Has the organization implemented controls and processes to manage information security when using cloud services (covering the acquisition, usage, management, and exit from cloud services), ensuring data is protected in the cloud environment?</t>
  </si>
  <si>
    <t>Q135-A.5.24</t>
  </si>
  <si>
    <t>Has the organization established an incident management plan and preparatory measures for information security incidents (e.g., defined roles, communication plans, training, and procedures so it is ready to respond effectively to incidents)?</t>
  </si>
  <si>
    <t>Q136-A.5.25</t>
  </si>
  <si>
    <t>Is there a process to assess information security events (observed or reported anomalies) and decide whether they should be classified as information security incidents, including criteria for such decisions?</t>
  </si>
  <si>
    <t>Q137-A.5.26</t>
  </si>
  <si>
    <t>Does the organization respond to information security incidents according to defined procedures (e.g., containment, eradication, recovery steps), and are these responses timely and effective?</t>
  </si>
  <si>
    <t>Q138-A.5.27</t>
  </si>
  <si>
    <t>After an incident, does the organization analyze and learn from the information security incident (e.g., perform a post-incident review to identify root causes and improvements to prevent recurrence)?</t>
  </si>
  <si>
    <t>Q139-A.5.28</t>
  </si>
  <si>
    <t>If the organization needs to collect evidence (e.g., in the event of an incident that may require disciplinary or legal action), are there procedures to collect, retain, and present that evidence in a manner admissible in court or appropriate for internal investigation (e.g., chain of custody, forensic techniques)?</t>
  </si>
  <si>
    <t>Q140-A.5.29</t>
  </si>
  <si>
    <t>Has the organization planned how to maintain information security during a disruption (e.g., during a crisis or disaster, ensuring that security controls continue to function or are adapted appropriately)?</t>
  </si>
  <si>
    <t>Q141-A.5.30</t>
  </si>
  <si>
    <t>Has the organization implemented measures to ensure ICT systems and services are prepared for business continuity (e.g., redundancy, failover, backups, tested recovery procedures), so that information security is maintained during ICT disruptions or disasters?</t>
  </si>
  <si>
    <t>Q142-A.5.31</t>
  </si>
  <si>
    <t>Has the organization identified all relevant information security-related legal, regulatory, statutory, and contractual requirements (e.g., data protection laws, industry regulations, customer security requirements) and documented how they apply to its information assets?</t>
  </si>
  <si>
    <t>Q143-A.5.32</t>
  </si>
  <si>
    <t>Does the organization adhere to and manage intellectual property rights (IPR) for information and software, ensuring that it uses licensed software and respects third-party IPR, and that its own intellectual property is protected?</t>
  </si>
  <si>
    <t>Q144-A.5.33</t>
  </si>
  <si>
    <t>Are there controls to protect important records (e.g., financial records, audit logs, system logs, contracts) from loss, destruction, falsification, and unauthorized access, in line with regulatory, contractual, and business requirements for record retention?</t>
  </si>
  <si>
    <t>Q145-A.5.34</t>
  </si>
  <si>
    <t>Has the organization implemented measures to ensure privacy and protect personal data/PII in accordance with relevant data protection laws and regulations (e.g. GDPR), including appropriate consent, collection, retention, and disposal practices?</t>
  </si>
  <si>
    <t>Q146-A.5.35</t>
  </si>
  <si>
    <t>Does the organization arrange for independent reviews of the ISMS at planned intervals or when significant changes occur (for example, internal or external audits or reviews by independent parties to evaluate the ISMS’s effectiveness)?</t>
  </si>
  <si>
    <t>Q147-A.5.36</t>
  </si>
  <si>
    <t>Does the organization regularly review and ensure compliance with internal information security policies, rules, and standards (e.g., through compliance audits or checks to verify that procedures are being followed)?</t>
  </si>
  <si>
    <t>Q148-A.5.37</t>
  </si>
  <si>
    <t>Are there documented operating procedures for information processing facilities (e.g., system administration, backup, and recovery procedures) to ensure secure and correct operations, and are these procedures kept up to date and followed by staff?</t>
  </si>
  <si>
    <t>People controls</t>
  </si>
  <si>
    <t>Q149-A.6.1</t>
  </si>
  <si>
    <t>Are background verification checks (screening) carried out on candidates for employment (and contractors) in accordance with relevant laws, regulations, and ethics, proportionate to business requirements and the classification of the information to be accessed by the person?</t>
  </si>
  <si>
    <t>Q150-A.6.2</t>
  </si>
  <si>
    <t>Do the terms and conditions of employment (including contracts or agreements with employees and contractors) include the employees’ and contractors’ responsibilities for information security (e.g., confidentiality agreements, security roles and responsibilities)?</t>
  </si>
  <si>
    <t>Q151-A.6.3</t>
  </si>
  <si>
    <t>Does the organization conduct information security awareness and training for all personnel (including contractors) to ensure they are aware of security policies, risks, and their security responsibilities, and are these programs conducted periodically and updated as needed?</t>
  </si>
  <si>
    <t>Q152-A.6.4</t>
  </si>
  <si>
    <t>Is there a formal disciplinary or sanctions process in place to handle employees or contractors who violate the organization’s information security policies or procedures (ensuring that it is applied consistently and fairly)?</t>
  </si>
  <si>
    <t>Q153-A.6.5</t>
  </si>
  <si>
    <t>Upon termination or role change of an employee or contractor, does the organization enforce security measures such as revoking access rights, retrieving assets, and reminding individuals of their remaining security obligations (e.g., continuing confidentiality)?</t>
  </si>
  <si>
    <t>Q154-A.6.6</t>
  </si>
  <si>
    <t>Does the organization use confidentiality or non-disclosure agreements (NDAs) for employees and, where applicable, contractors or third parties to protect sensitive information, and are these agreements reviewed periodically and updated to address new requirements?</t>
  </si>
  <si>
    <t>Q155-A.6.7</t>
  </si>
  <si>
    <t>Has the organization implemented security measures and policies for remote working (teleworking), ensuring that remote access to corporate systems and data is secure (e.g., via VPN, secure configurations) and that remote workers follow security guidelines (clear screen, secure Wi-Fi, etc.)?</t>
  </si>
  <si>
    <t>Q156-A.6.8</t>
  </si>
  <si>
    <t>Are there procedures and channels in place for all workforce members to report observed information security events or weaknesses (e.g., a help desk or incident response team), and do employees know their responsibility to report security incidents or suspicious events immediately?</t>
  </si>
  <si>
    <t>Q157-A.6.9</t>
  </si>
  <si>
    <t>Control A.6.9 is not used in ISO 27001:2022 (People controls category contains controls 6.1 through 6.8).</t>
  </si>
  <si>
    <t>Physical controls</t>
  </si>
  <si>
    <t>Q158-A.7.1</t>
  </si>
  <si>
    <t>Are security perimeters (e.g., barriers like walls, card-controlled doors, gates, manned reception) established to protect areas that contain sensitive information or critical information processing facilities, preventing unauthorized physical access?</t>
  </si>
  <si>
    <t>Q159-A.7.2</t>
  </si>
  <si>
    <t>Are there controls in place to secure physical entry into facilities (e.g., access control systems, guards, reception sign-in, visitor badges) such that only authorized personnel can enter secure areas and all entries/exits are logged or supervised?</t>
  </si>
  <si>
    <t>Q160-A.7.3</t>
  </si>
  <si>
    <t>Are offices, rooms, and facilities that handle sensitive information designed and secured with appropriate controls (e.g., locks, alarm systems, screen filters, protections against eavesdropping) to prevent unauthorized viewing or access to information?</t>
  </si>
  <si>
    <t>Q161-A.7.4</t>
  </si>
  <si>
    <t>Are premises monitored for security (e.g., through CCTV cameras, intrusion detection systems, alarm systems, or guards) to deter, detect, and respond to unauthorized physical access or other physical security incidents?</t>
  </si>
  <si>
    <t>Q162-A.7.5</t>
  </si>
  <si>
    <t>Are facilities protected against physical and environmental threats (like fire, flood, earthquake, explosion, civil unrest) through appropriate controls (e.g., fire suppression systems, UPS/generators, flood detectors, secure locations), commensurate with the risk level?</t>
  </si>
  <si>
    <t>Q163-A.7.6</t>
  </si>
  <si>
    <t>Are there special controls and procedures for working in secure areas (e.g., requiring authorization, supervision of visitors, prohibition of recording devices, clear rules for personnel) to prevent unauthorized access or leakage of sensitive information within those areas?</t>
  </si>
  <si>
    <t>Q164-A.7.7</t>
  </si>
  <si>
    <t>Has the organization implemented a clear desk and clear screen policy to ensure sensitive information (on paper or on screens) is not left unattended or visible to unauthorized people (e.g., requiring users to log off or lock screens and secure documents when not in use)?</t>
  </si>
  <si>
    <t>Q165-A.7.8</t>
  </si>
  <si>
    <t>Are information processing facilities and equipment sited or placed in secure locations with protections (e.g., away from public areas, with controlled access, proper ventilation and power supply) to reduce risks from environmental threats or unauthorized access?</t>
  </si>
  <si>
    <t>Q166-A.7.9</t>
  </si>
  <si>
    <t>When equipment or information assets are taken or used off-site (outside the organization’s premises), are they protected with appropriate security measures (e.g., encryption on laptops, tracking, locked cases) according to the risk outside the controlled environment?</t>
  </si>
  <si>
    <t>Q167-A.7.10</t>
  </si>
  <si>
    <t>Are storage media (such as hard drives, USB drives, backup tapes) managed securely throughout their lifecycle – including proper handling, transportation, and storage – to prevent unauthorized access, damage, or loss?</t>
  </si>
  <si>
    <t>Q168-A.7.11</t>
  </si>
  <si>
    <t>Are supporting utilities for critical facilities (like electricity, water, HVAC, telecommunications) secured and protected to ensure continuous availability of information systems (e.g., backup power, surge protectors, monitoring of utility outages) and to prevent any tampering?</t>
  </si>
  <si>
    <t>Q169-A.7.12</t>
  </si>
  <si>
    <t>Are power and network cables carrying sensitive data or supporting critical systems protected from interception, interference, or damage (e.g., by using conduits, avoiding public areas, employing shielded cables, and controlling access to cable infrastructure)?</t>
  </si>
  <si>
    <t>Q170-A.7.13</t>
  </si>
  <si>
    <t>Is equipment (such as servers, network devices) correctly maintained to ensure its continued availability and integrity, including applying manufacturer’s recommended maintenance, timely repairs, and ensuring security controls (like configuration) are rechecked after maintenance?</t>
  </si>
  <si>
    <t>Q171-A.7.14</t>
  </si>
  <si>
    <t>Are there procedures to ensure that all sensitive data and licensed software are removed or securely overwritten from equipment and devices before disposal, recycling, or reassignment (and is the disposal of media done securely, e.g., shredding or certified destruction)?</t>
  </si>
  <si>
    <t>Technological controls</t>
  </si>
  <si>
    <t>Q172-A.8.1</t>
  </si>
  <si>
    <t>Are user endpoint devices (e.g., laptops, desktops, mobile devices) configured and managed securely (with measures like hardening, antivirus, encryption, and remote wipe capabilities) to protect against threats and unauthorized access?</t>
  </si>
  <si>
    <t>Q173-A.8.2</t>
  </si>
  <si>
    <t>Are privileged access rights (e.g., admin accounts, superuser privileges) restricted and managed carefully, including approval for granting privileges, unique privileged accounts (no sharing), and regular review of those rights?</t>
  </si>
  <si>
    <t>Q174-A.8.3</t>
  </si>
  <si>
    <t>Are access restrictions in place for information and systems (e.g., network segmentation, file permissions, access control lists) to ensure users and systems can only access information necessary for their role, thereby preventing unauthorized access?</t>
  </si>
  <si>
    <t>Q175-A.8.4</t>
  </si>
  <si>
    <t>Is access to source code for applications/systems strictly controlled (only authorized developers or vendors can access it), and are there measures to prevent unauthorized changes or disclosure of source code (such as code repositories with access control, code signing)?</t>
  </si>
  <si>
    <t>Q176-A.8.5</t>
  </si>
  <si>
    <t>Are secure authentication mechanisms in place for accessing systems and data (e.g., multi-factor authentication, secure handling of login credentials, no default passwords, controls against brute-force, etc.) to verify user identities?</t>
  </si>
  <si>
    <t>Q177-A.8.6</t>
  </si>
  <si>
    <t>Are capacities of information processing resources (such as network bandwidth, server performance, storage) monitored and managed to ensure that the requirements for performance and availability are met, and to anticipate and plan for future capacity needs?</t>
  </si>
  <si>
    <t>Q178-A.8.7</t>
  </si>
  <si>
    <t>Has the organization implemented preventive and detective controls to protect against malware (malicious software) on all systems (e.g., antivirus/anti-malware software, regular updates, user awareness training, email filtering) and procedures for responding to malware incidents?</t>
  </si>
  <si>
    <t>Q179-A.8.8</t>
  </si>
  <si>
    <t>Is there a defined process for managing technical vulnerabilities in systems (e.g., receiving vulnerability alerts, patch management, timely installation of security updates, risk assessment for unpatched vulnerabilities) to reduce exposure to known threats?</t>
  </si>
  <si>
    <t>Q180-A.8.9</t>
  </si>
  <si>
    <t>Does the organization have a configuration management process to ensure that hardware, software, services, and networks are configured securely and consistently (e.g., using baseline security configurations, tracking changes) and to prevent unauthorized or incorrect configuration changes?</t>
  </si>
  <si>
    <t>Q181-A.8.10</t>
  </si>
  <si>
    <t>Are there policies and mechanisms to securely delete information that is no longer required (particularly sensitive information), in line with legal and business requirements (e.g., data retention policies, secure wiping of data to prevent recovery)?</t>
  </si>
  <si>
    <t>Q182-A.8.11</t>
  </si>
  <si>
    <t>Where appropriate, has the organization implemented data masking techniques (hiding or obfuscating sensitive data in systems, databases, or outputs) to limit exposure of sensitive information (especially for testing, analytics, or lower environments)?</t>
  </si>
  <si>
    <t>Q183-A.8.12</t>
  </si>
  <si>
    <t>Has the organization deployed Data Leakage Prevention controls to detect and prevent unauthorized disclosure or extraction of sensitive information (e.g., DLP software that monitors emails, uploads, USB transfers for sensitive content)?</t>
  </si>
  <si>
    <t>Q184-A.8.13</t>
  </si>
  <si>
    <t>Are backups of critical information and software taken regularly and tested to ensure that data can be restored as needed, and are backups stored securely (including off-site storage with appropriate physical and environmental protections)?</t>
  </si>
  <si>
    <t>Q185-A.8.14</t>
  </si>
  <si>
    <t>Where required by availability needs, has the organization provided redundancy for information processing facilities (e.g., redundant servers, network links, power supplies) to ensure availability of information and systems in case of component failure?</t>
  </si>
  <si>
    <t>Q186-A.8.15</t>
  </si>
  <si>
    <t>Are security-relevant events (such as logins, administrative actions, access to sensitive records, system errors) logged and retained, and are the logs protected against tampering and reviewed regularly for signs of incidents?</t>
  </si>
  <si>
    <t>Q187-A.8.16</t>
  </si>
  <si>
    <t>Are systems and networks monitored for anomalous activities and security events (e.g., using IDS/IPS, SIEM systems, or other monitoring tools) and are these monitoring results analyzed and responded to in a timely manner?</t>
  </si>
  <si>
    <t>Q188-A.8.17</t>
  </si>
  <si>
    <t>Are clocks of all relevant information processing systems synchronized to a trusted time source (to ensure accurate timestamping in logs and records, which is critical for investigations and correlating events)?</t>
  </si>
  <si>
    <t>Q189-A.8.18</t>
  </si>
  <si>
    <t>Is the use of system utility programs that might override system or application controls (e.g., debugging or maintenance utilities) restricted and tightly controlled (e.g., accessible only by admins, usage logged, removed from non-secure systems)?</t>
  </si>
  <si>
    <t>Q190-A.8.19</t>
  </si>
  <si>
    <t>Are rules in place to control the installation of software on operational systems (e.g., users cannot install software without approval, only authorized software is allowed, and installation is done by admins or via a controlled process) to prevent introduction of unauthorized or harmful software?</t>
  </si>
  <si>
    <t>Q191-A.8.20</t>
  </si>
  <si>
    <t>Are networks (including internal, external, and wireless networks) secured via appropriate controls (like firewalls, network segmentation, secure network design) to protect against attacks and to segregate sensitive network zones?</t>
  </si>
  <si>
    <t>Q192-A.8.21</t>
  </si>
  <si>
    <t>If network services are provided by third parties or even internal teams, does the organization ensure they are secured (for example, by specifying security controls in service agreements for telecommunications, cloud network services, etc., and monitoring compliance)?</t>
  </si>
  <si>
    <t>Q193-A.8.22</t>
  </si>
  <si>
    <t>Are networks segregated (physically or logically) where appropriate to isolate groups of information services or users (e.g., separating production and development networks, or isolating sensitive systems on separate VLANs) to reduce the risk of unauthorized access or propagation of threats?</t>
  </si>
  <si>
    <t>Q194-A.8.23</t>
  </si>
  <si>
    <t>Has the organization implemented web filtering controls (e.g., to block access to malicious or inappropriate websites, using URL filtering or content categorization) on its networks or endpoints to reduce the likelihood of malware infections or misuse of internet access?</t>
  </si>
  <si>
    <t>Q195-A.8.24</t>
  </si>
  <si>
    <t>Are cryptographic controls used appropriately to protect information (e.g., encryption of sensitive data at rest and in transit, key management processes) in compliance with all relevant agreements, laws, and regulations?</t>
  </si>
  <si>
    <t>Q196-A.8.25</t>
  </si>
  <si>
    <t>Has the organization integrated security into the system and software development life cycle (e.g., following a secure SDLC process that includes security requirements, threat modeling, code review, security testing) for in-house developed or customized systems?</t>
  </si>
  <si>
    <t>Q197-A.8.26</t>
  </si>
  <si>
    <t>Are security requirements for new applications or enhancements identified and included as part of the requirements phase (e.g., authentication, authorization, logging, input validation needs are specified before development) and are they based on the organization’s policies and risk assessment?</t>
  </si>
  <si>
    <t>Q198-A.8.27</t>
  </si>
  <si>
    <t>Does the organization follow established security architecture and engineering principles when designing, implementing, or changing information systems (e.g., following frameworks or best practices to ensure systems are resilient and secure by design)?</t>
  </si>
  <si>
    <t>Q199-A.8.28</t>
  </si>
  <si>
    <t>Are there secure coding guidelines in place and followed by developers to prevent common vulnerabilities (e.g., OWASP top 10 issues), and is code reviewed or tested for security flaws as part of development?</t>
  </si>
  <si>
    <t>Q200-A.8.29</t>
  </si>
  <si>
    <t>Are new or updated systems and applications subject to security testing (such as vulnerability assessment, penetration testing, or code analysis) during development and prior to acceptance into production, to ensure they meet security criteria?</t>
  </si>
  <si>
    <t>Q201-A.8.30</t>
  </si>
  <si>
    <t>If software development is outsourced, does the organization supervise and enforce security requirements with the external developers (e.g., security requirements are included in contracts, code is reviewed, escrow agreements if needed) to ensure the outsourced development meets the organization’s security standards?</t>
  </si>
  <si>
    <t>Q202-A.8.31</t>
  </si>
  <si>
    <t>Are development, testing, and production environments separated from each other (physically or logically) to reduce the risk of unauthorized changes moving into production and to prevent test/development activities from affecting live systems?</t>
  </si>
  <si>
    <t>Q203-A.8.32</t>
  </si>
  <si>
    <t>Is there a formal change management process for IT and information systems that ensures changes are reviewed, tested, approved, and documented before implementation, minimizing the risk of unintended security impacts?</t>
  </si>
  <si>
    <t>Q204-A.8.33</t>
  </si>
  <si>
    <t>When testing systems, especially using production data for testing, does the organization protect test data (e.g., anonymize or mask personal data) and control test environments to prevent unauthorized access or misuse of information used in testing?</t>
  </si>
  <si>
    <t>Q205-A.8.34</t>
  </si>
  <si>
    <t>Are information systems protected during audit testing or security assessments (such as vulnerability scans or penetration tests) to ensure these activities do not compromise the confidentiality, integrity, or availability of the systems being tested?</t>
  </si>
  <si>
    <t>ISO 27001:2022 ISMS- Gap Analysis Checklist</t>
  </si>
  <si>
    <t xml:space="preserve">ISO 27001:2022 ISMS- Gap Analysis Implementation Plan </t>
  </si>
  <si>
    <t>A</t>
  </si>
  <si>
    <t>S</t>
  </si>
  <si>
    <t>D</t>
  </si>
  <si>
    <t>F</t>
  </si>
  <si>
    <t>Annex A.</t>
  </si>
  <si>
    <t>Annex A.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</si>
</sst>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x14ac:knownFonts="1">
    <font>
      <sz val="11"/>
      <color theme="1"/>
      <name val="Calibri"/>
      <family val="2"/>
      <scheme val="minor"/>
    </font>
    <font>
      <sz val="11"/>
      <color theme="1"/>
      <name val="Arial"/>
      <family val="2"/>
    </font>
    <font>
      <sz val="11"/>
      <color theme="1"/>
      <name val="Calibri"/>
      <family val="2"/>
      <scheme val="minor"/>
    </font>
    <font>
      <sz val="12"/>
      <color theme="1"/>
      <name val="Calibri"/>
      <family val="2"/>
      <scheme val="minor"/>
    </font>
    <font>
      <sz val="11"/>
      <name val="Calibri"/>
      <family val="2"/>
      <scheme val="minor"/>
    </font>
    <font>
      <b/>
      <sz val="14"/>
      <color theme="1"/>
      <name val="Calibri"/>
      <family val="2"/>
      <scheme val="minor"/>
    </font>
    <font>
      <b/>
      <sz val="22"/>
      <color theme="1"/>
      <name val="Calibri"/>
      <family val="2"/>
      <scheme val="minor"/>
    </font>
    <font>
      <sz val="11"/>
      <color theme="1"/>
      <name val="Arial"/>
      <family val="2"/>
    </font>
    <font>
      <b/>
      <sz val="20"/>
      <color theme="0"/>
      <name val="Calibri"/>
      <family val="2"/>
      <scheme val="minor"/>
    </font>
    <font>
      <sz val="8"/>
      <name val="Calibri"/>
      <family val="2"/>
      <scheme val="minor"/>
    </font>
    <font>
      <b/>
      <sz val="11"/>
      <color theme="0"/>
      <name val="Calibri"/>
      <family val="2"/>
      <scheme val="minor"/>
    </font>
    <font>
      <sz val="14"/>
      <color theme="1"/>
      <name val="Calibri"/>
      <family val="2"/>
      <scheme val="minor"/>
    </font>
    <font>
      <sz val="14"/>
      <name val="Calibri"/>
      <family val="2"/>
    </font>
    <font>
      <sz val="14"/>
      <name val="Calibri"/>
      <family val="2"/>
      <scheme val="minor"/>
    </font>
    <font>
      <sz val="12"/>
      <name val="Calibri"/>
      <family val="2"/>
      <scheme val="minor"/>
    </font>
    <font>
      <b/>
      <sz val="26"/>
      <name val="Calibri"/>
      <family val="2"/>
      <scheme val="minor"/>
    </font>
    <font>
      <sz val="16"/>
      <color theme="1"/>
      <name val="Calibri"/>
      <family val="2"/>
      <scheme val="minor"/>
    </font>
    <font>
      <b/>
      <sz val="20"/>
      <color rgb="FF00C2CB"/>
      <name val="Calibri"/>
      <family val="2"/>
      <scheme val="minor"/>
    </font>
    <font>
      <b/>
      <sz val="16"/>
      <color theme="0"/>
      <name val="Calibri"/>
      <family val="2"/>
      <scheme val="minor"/>
    </font>
    <font>
      <b/>
      <sz val="10"/>
      <name val="Calibri"/>
      <family val="2"/>
      <scheme val="minor"/>
    </font>
    <font>
      <sz val="10"/>
      <color theme="1"/>
      <name val="Calibri"/>
      <family val="2"/>
      <scheme val="minor"/>
    </font>
    <font>
      <b/>
      <sz val="10"/>
      <color theme="1"/>
      <name val="Calibri"/>
      <family val="2"/>
      <scheme val="minor"/>
    </font>
    <font>
      <b/>
      <sz val="26"/>
      <color rgb="FF00C2CB"/>
      <name val="Calibri"/>
      <family val="2"/>
      <scheme val="minor"/>
    </font>
    <font>
      <b/>
      <sz val="18"/>
      <color rgb="FF00C2CB"/>
      <name val="Calibri"/>
      <family val="2"/>
      <scheme val="minor"/>
    </font>
    <font>
      <b/>
      <u/>
      <sz val="18"/>
      <color theme="0"/>
      <name val="Calibri"/>
      <family val="2"/>
      <scheme val="minor"/>
    </font>
    <font>
      <sz val="10"/>
      <name val="Calibri"/>
      <family val="2"/>
      <scheme val="minor"/>
    </font>
    <font>
      <sz val="10"/>
      <color theme="1"/>
      <name val="Aptos"/>
      <family val="2"/>
    </font>
    <font>
      <b/>
      <sz val="10"/>
      <color theme="1"/>
      <name val="Aptos"/>
      <family val="2"/>
    </font>
    <font>
      <b/>
      <sz val="10"/>
      <color theme="0"/>
      <name val="Calibri"/>
      <family val="2"/>
      <scheme val="minor"/>
    </font>
    <font>
      <b/>
      <sz val="26"/>
      <color theme="1"/>
      <name val="Calibri"/>
      <family val="2"/>
      <scheme val="minor"/>
    </font>
  </fonts>
  <fills count="14">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indexed="65"/>
      </patternFill>
    </fill>
    <fill>
      <patternFill patternType="solid">
        <fgColor theme="2" tint="-0.249977111117893"/>
        <bgColor indexed="64"/>
      </patternFill>
    </fill>
    <fill>
      <patternFill patternType="solid">
        <fgColor rgb="FF0F2457"/>
        <bgColor indexed="64"/>
      </patternFill>
    </fill>
    <fill>
      <patternFill patternType="solid">
        <fgColor theme="0" tint="-0.14999847407452621"/>
        <bgColor indexed="64"/>
      </patternFill>
    </fill>
    <fill>
      <patternFill patternType="solid">
        <fgColor theme="3" tint="0.89999084444715716"/>
        <bgColor rgb="FF000000"/>
      </patternFill>
    </fill>
  </fills>
  <borders count="4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medium">
        <color indexed="64"/>
      </right>
      <top/>
      <bottom/>
      <diagonal/>
    </border>
    <border>
      <left style="medium">
        <color auto="1"/>
      </left>
      <right style="medium">
        <color auto="1"/>
      </right>
      <top/>
      <bottom style="medium">
        <color auto="1"/>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7">
    <xf numFmtId="0" fontId="0" fillId="0" borderId="0"/>
    <xf numFmtId="0" fontId="2" fillId="0" borderId="0"/>
    <xf numFmtId="0" fontId="7" fillId="0" borderId="0"/>
    <xf numFmtId="0" fontId="7" fillId="9" borderId="0" applyNumberFormat="0" applyBorder="0" applyAlignment="0" applyProtection="0"/>
    <xf numFmtId="9" fontId="2" fillId="0" borderId="0" applyFont="0" applyFill="0" applyBorder="0" applyAlignment="0" applyProtection="0"/>
    <xf numFmtId="0" fontId="1" fillId="0" borderId="0"/>
    <xf numFmtId="0" fontId="1" fillId="9" borderId="0" applyNumberFormat="0" applyBorder="0" applyAlignment="0" applyProtection="0"/>
  </cellStyleXfs>
  <cellXfs count="183">
    <xf numFmtId="0" fontId="0" fillId="0" borderId="0" xfId="0"/>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4" fillId="7" borderId="7" xfId="0" applyFont="1" applyFill="1" applyBorder="1" applyAlignment="1">
      <alignment horizontal="center" vertical="center"/>
    </xf>
    <xf numFmtId="0" fontId="4" fillId="0" borderId="13" xfId="0" applyFont="1" applyBorder="1" applyAlignment="1">
      <alignment horizontal="center" vertical="center"/>
    </xf>
    <xf numFmtId="0" fontId="4" fillId="0" borderId="10" xfId="0" applyFont="1" applyBorder="1" applyAlignment="1">
      <alignment horizontal="left" vertical="center" wrapText="1"/>
    </xf>
    <xf numFmtId="0" fontId="4" fillId="8" borderId="7" xfId="0" applyFont="1" applyFill="1" applyBorder="1" applyAlignment="1">
      <alignment horizontal="left" vertical="center" wrapText="1"/>
    </xf>
    <xf numFmtId="0" fontId="4" fillId="8" borderId="19" xfId="0" applyFont="1" applyFill="1" applyBorder="1" applyAlignment="1">
      <alignment horizontal="left" vertical="center" wrapText="1"/>
    </xf>
    <xf numFmtId="0" fontId="4" fillId="8" borderId="20" xfId="0" applyFont="1" applyFill="1" applyBorder="1" applyAlignment="1">
      <alignment horizontal="left" vertical="center" wrapText="1"/>
    </xf>
    <xf numFmtId="0" fontId="4" fillId="8" borderId="10" xfId="0" applyFont="1" applyFill="1" applyBorder="1" applyAlignment="1">
      <alignment horizontal="left" vertical="center" wrapText="1"/>
    </xf>
    <xf numFmtId="0" fontId="4" fillId="8" borderId="7" xfId="0" applyFont="1" applyFill="1" applyBorder="1" applyAlignment="1">
      <alignment vertical="center" wrapText="1"/>
    </xf>
    <xf numFmtId="0" fontId="4" fillId="8" borderId="7" xfId="0" applyFont="1" applyFill="1" applyBorder="1" applyAlignment="1" applyProtection="1">
      <alignment horizontal="left" vertical="center" wrapText="1"/>
      <protection locked="0"/>
    </xf>
    <xf numFmtId="0" fontId="4" fillId="8" borderId="10" xfId="0" applyFont="1" applyFill="1" applyBorder="1" applyAlignment="1">
      <alignment vertical="center" wrapText="1"/>
    </xf>
    <xf numFmtId="0" fontId="4" fillId="8" borderId="7" xfId="0" applyFont="1" applyFill="1" applyBorder="1" applyAlignment="1">
      <alignment horizontal="left" vertical="center"/>
    </xf>
    <xf numFmtId="0" fontId="0" fillId="8" borderId="0" xfId="0" applyFill="1"/>
    <xf numFmtId="0" fontId="0" fillId="8" borderId="1" xfId="0" applyFill="1" applyBorder="1"/>
    <xf numFmtId="0" fontId="0" fillId="8" borderId="2" xfId="0" applyFill="1" applyBorder="1"/>
    <xf numFmtId="0" fontId="0" fillId="8" borderId="12" xfId="0" applyFill="1" applyBorder="1"/>
    <xf numFmtId="0" fontId="0" fillId="8" borderId="4" xfId="0" applyFill="1" applyBorder="1"/>
    <xf numFmtId="0" fontId="0" fillId="8" borderId="5" xfId="0" applyFill="1" applyBorder="1"/>
    <xf numFmtId="0" fontId="0" fillId="8" borderId="3" xfId="0" applyFill="1" applyBorder="1"/>
    <xf numFmtId="0" fontId="0" fillId="8" borderId="24" xfId="0" applyFill="1" applyBorder="1"/>
    <xf numFmtId="0" fontId="0" fillId="8" borderId="6" xfId="0" applyFill="1" applyBorder="1"/>
    <xf numFmtId="0" fontId="4" fillId="0" borderId="10" xfId="0" applyFont="1" applyBorder="1" applyAlignment="1">
      <alignment horizontal="center" vertical="center" wrapText="1"/>
    </xf>
    <xf numFmtId="2" fontId="3" fillId="0" borderId="0" xfId="0" applyNumberFormat="1" applyFont="1" applyAlignment="1">
      <alignment horizontal="left" vertical="center"/>
    </xf>
    <xf numFmtId="14" fontId="3" fillId="0" borderId="0" xfId="0" applyNumberFormat="1" applyFont="1" applyAlignment="1">
      <alignment horizontal="left" vertical="center"/>
    </xf>
    <xf numFmtId="164" fontId="4" fillId="8" borderId="23" xfId="0" applyNumberFormat="1" applyFont="1" applyFill="1" applyBorder="1" applyAlignment="1">
      <alignment horizontal="left" vertical="center"/>
    </xf>
    <xf numFmtId="164" fontId="4" fillId="8" borderId="7" xfId="0" applyNumberFormat="1" applyFont="1" applyFill="1" applyBorder="1" applyAlignment="1">
      <alignment horizontal="left" vertical="center" wrapText="1"/>
    </xf>
    <xf numFmtId="0" fontId="4" fillId="0" borderId="34" xfId="0" applyFont="1" applyBorder="1" applyAlignment="1">
      <alignment horizontal="center" vertical="center"/>
    </xf>
    <xf numFmtId="0" fontId="4" fillId="7" borderId="35" xfId="0" applyFont="1" applyFill="1" applyBorder="1" applyAlignment="1">
      <alignment horizontal="center" vertical="center"/>
    </xf>
    <xf numFmtId="164" fontId="4" fillId="0" borderId="35" xfId="0" applyNumberFormat="1" applyFont="1" applyBorder="1" applyAlignment="1">
      <alignment horizontal="center" vertical="center" wrapText="1"/>
    </xf>
    <xf numFmtId="9" fontId="4" fillId="0" borderId="35" xfId="0" applyNumberFormat="1"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164" fontId="4" fillId="0" borderId="7" xfId="0" applyNumberFormat="1" applyFont="1" applyBorder="1" applyAlignment="1">
      <alignment horizontal="center" vertical="center" wrapText="1"/>
    </xf>
    <xf numFmtId="9" fontId="4" fillId="0" borderId="7"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4" fillId="0" borderId="37" xfId="0" applyFont="1" applyBorder="1" applyAlignment="1">
      <alignment horizontal="center" vertical="center"/>
    </xf>
    <xf numFmtId="0" fontId="4" fillId="7" borderId="38" xfId="0" applyFont="1" applyFill="1" applyBorder="1" applyAlignment="1">
      <alignment horizontal="center" vertical="center"/>
    </xf>
    <xf numFmtId="164" fontId="4" fillId="0" borderId="38" xfId="0" applyNumberFormat="1" applyFont="1" applyBorder="1" applyAlignment="1">
      <alignment horizontal="center" vertical="center" wrapText="1"/>
    </xf>
    <xf numFmtId="0" fontId="4" fillId="0" borderId="38"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6" xfId="0" applyFont="1" applyBorder="1" applyAlignment="1">
      <alignment horizontal="left" vertical="center" wrapText="1"/>
    </xf>
    <xf numFmtId="0" fontId="11"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wrapText="1"/>
    </xf>
    <xf numFmtId="0" fontId="11" fillId="0" borderId="0" xfId="0" applyFont="1" applyAlignment="1">
      <alignment horizontal="center" vertical="center"/>
    </xf>
    <xf numFmtId="0" fontId="4" fillId="0" borderId="0" xfId="0"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4" fillId="10" borderId="7" xfId="0" applyFont="1" applyFill="1" applyBorder="1" applyAlignment="1">
      <alignment horizontal="center" vertical="center" wrapText="1"/>
    </xf>
    <xf numFmtId="0" fontId="4" fillId="10" borderId="10" xfId="0" applyFont="1" applyFill="1" applyBorder="1" applyAlignment="1">
      <alignment horizontal="center" vertical="center" wrapText="1"/>
    </xf>
    <xf numFmtId="0" fontId="4" fillId="0" borderId="7" xfId="0" applyFont="1" applyBorder="1" applyAlignment="1">
      <alignment horizontal="lef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16" fillId="0" borderId="0" xfId="0" applyFont="1" applyAlignment="1">
      <alignment vertical="center"/>
    </xf>
    <xf numFmtId="0" fontId="12" fillId="0" borderId="7"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7" xfId="0" applyFont="1" applyBorder="1" applyAlignment="1">
      <alignment vertical="center" wrapText="1"/>
    </xf>
    <xf numFmtId="0" fontId="12" fillId="0" borderId="10" xfId="0" applyFont="1" applyBorder="1" applyAlignment="1">
      <alignment vertical="center" wrapText="1"/>
    </xf>
    <xf numFmtId="9" fontId="4" fillId="8" borderId="23" xfId="4" applyFont="1" applyFill="1" applyBorder="1" applyAlignment="1">
      <alignment horizontal="center" vertical="center" wrapText="1"/>
    </xf>
    <xf numFmtId="0" fontId="18" fillId="11" borderId="21" xfId="0" applyFont="1" applyFill="1" applyBorder="1" applyAlignment="1">
      <alignment horizontal="center" vertical="center"/>
    </xf>
    <xf numFmtId="0" fontId="18" fillId="11" borderId="14" xfId="0" applyFont="1" applyFill="1" applyBorder="1" applyAlignment="1">
      <alignment horizontal="center" vertical="center"/>
    </xf>
    <xf numFmtId="0" fontId="18" fillId="11" borderId="21" xfId="0" applyFont="1" applyFill="1" applyBorder="1" applyAlignment="1">
      <alignment horizontal="center" vertical="center" wrapText="1"/>
    </xf>
    <xf numFmtId="0" fontId="18" fillId="11" borderId="22" xfId="0" applyFont="1" applyFill="1" applyBorder="1" applyAlignment="1">
      <alignment horizontal="center" vertical="center" wrapText="1"/>
    </xf>
    <xf numFmtId="0" fontId="10" fillId="11" borderId="14" xfId="0" applyFont="1" applyFill="1" applyBorder="1" applyAlignment="1">
      <alignment horizontal="center" vertical="center"/>
    </xf>
    <xf numFmtId="0" fontId="10" fillId="11" borderId="21" xfId="0" applyFont="1" applyFill="1" applyBorder="1" applyAlignment="1">
      <alignment horizontal="center" vertical="center"/>
    </xf>
    <xf numFmtId="0" fontId="19" fillId="3" borderId="15"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9" fillId="4" borderId="17" xfId="0" applyFont="1" applyFill="1" applyBorder="1" applyAlignment="1">
      <alignment horizontal="center" vertical="center" wrapText="1"/>
    </xf>
    <xf numFmtId="0" fontId="20" fillId="0" borderId="26" xfId="0" applyFont="1" applyBorder="1" applyAlignment="1">
      <alignment horizontal="left" vertical="center" wrapText="1"/>
    </xf>
    <xf numFmtId="0" fontId="20" fillId="0" borderId="27" xfId="0" applyFont="1" applyBorder="1" applyAlignment="1">
      <alignment horizontal="left" vertical="center" wrapText="1"/>
    </xf>
    <xf numFmtId="0" fontId="20" fillId="0" borderId="28" xfId="0" applyFont="1" applyBorder="1" applyAlignment="1">
      <alignment horizontal="left" vertical="center" wrapText="1"/>
    </xf>
    <xf numFmtId="0" fontId="20" fillId="0" borderId="10" xfId="0" applyFont="1" applyBorder="1" applyAlignment="1">
      <alignment horizontal="left" vertical="center" wrapText="1"/>
    </xf>
    <xf numFmtId="0" fontId="20" fillId="0" borderId="20" xfId="0" applyFont="1" applyBorder="1" applyAlignment="1">
      <alignment horizontal="left" vertical="center" wrapText="1"/>
    </xf>
    <xf numFmtId="0" fontId="20" fillId="8" borderId="10" xfId="0" applyFont="1" applyFill="1" applyBorder="1" applyAlignment="1">
      <alignment horizontal="left" vertical="center" wrapText="1"/>
    </xf>
    <xf numFmtId="0" fontId="20" fillId="0" borderId="11" xfId="0" applyFont="1" applyBorder="1" applyAlignment="1">
      <alignment horizontal="left" vertical="center" wrapText="1"/>
    </xf>
    <xf numFmtId="0" fontId="19" fillId="6" borderId="14" xfId="0" applyFont="1" applyFill="1" applyBorder="1" applyAlignment="1">
      <alignment horizontal="center" vertical="center" wrapText="1"/>
    </xf>
    <xf numFmtId="0" fontId="20" fillId="8" borderId="0" xfId="0" applyFont="1" applyFill="1"/>
    <xf numFmtId="0" fontId="19" fillId="6" borderId="8" xfId="0" applyFont="1" applyFill="1" applyBorder="1" applyAlignment="1">
      <alignment horizontal="center" vertical="center" wrapText="1"/>
    </xf>
    <xf numFmtId="0" fontId="20" fillId="12" borderId="7" xfId="0" applyFont="1" applyFill="1" applyBorder="1" applyAlignment="1">
      <alignment horizontal="center" vertical="center" wrapText="1"/>
    </xf>
    <xf numFmtId="0" fontId="25" fillId="12" borderId="7" xfId="1" applyFont="1" applyFill="1" applyBorder="1" applyAlignment="1">
      <alignment horizontal="center" vertical="center" wrapText="1"/>
    </xf>
    <xf numFmtId="0" fontId="20" fillId="7" borderId="7" xfId="0" applyFont="1" applyFill="1" applyBorder="1" applyAlignment="1">
      <alignment horizontal="center" vertical="center" wrapText="1"/>
    </xf>
    <xf numFmtId="0" fontId="25" fillId="7" borderId="7" xfId="1" applyFont="1" applyFill="1" applyBorder="1" applyAlignment="1">
      <alignment horizontal="center" vertical="center" wrapText="1"/>
    </xf>
    <xf numFmtId="0" fontId="26" fillId="7" borderId="34" xfId="0" applyFont="1" applyFill="1" applyBorder="1" applyAlignment="1">
      <alignment horizontal="center" vertical="center" wrapText="1"/>
    </xf>
    <xf numFmtId="0" fontId="27" fillId="7" borderId="35" xfId="0" applyFont="1" applyFill="1" applyBorder="1" applyAlignment="1">
      <alignment horizontal="center" vertical="center" wrapText="1"/>
    </xf>
    <xf numFmtId="0" fontId="25" fillId="7" borderId="35" xfId="1" applyFont="1" applyFill="1" applyBorder="1" applyAlignment="1">
      <alignment horizontal="center" vertical="center" wrapText="1"/>
    </xf>
    <xf numFmtId="0" fontId="25" fillId="7" borderId="36" xfId="1" applyFont="1" applyFill="1" applyBorder="1" applyAlignment="1">
      <alignment horizontal="left" vertical="center" wrapText="1"/>
    </xf>
    <xf numFmtId="0" fontId="26" fillId="12" borderId="13" xfId="0" applyFont="1" applyFill="1" applyBorder="1" applyAlignment="1">
      <alignment horizontal="center" vertical="center" wrapText="1"/>
    </xf>
    <xf numFmtId="0" fontId="20" fillId="12" borderId="10" xfId="0" applyFont="1" applyFill="1" applyBorder="1" applyAlignment="1">
      <alignment horizontal="left" vertical="center" wrapText="1"/>
    </xf>
    <xf numFmtId="0" fontId="25" fillId="0" borderId="13" xfId="0" applyFont="1" applyBorder="1" applyAlignment="1">
      <alignment horizontal="center" vertical="center" wrapText="1"/>
    </xf>
    <xf numFmtId="0" fontId="20" fillId="8" borderId="7" xfId="0" applyFont="1" applyFill="1" applyBorder="1" applyAlignment="1">
      <alignment horizontal="center" vertical="center" wrapText="1"/>
    </xf>
    <xf numFmtId="0" fontId="25" fillId="8" borderId="7" xfId="1" applyFont="1" applyFill="1" applyBorder="1" applyAlignment="1">
      <alignment horizontal="center" vertical="center" wrapText="1"/>
    </xf>
    <xf numFmtId="0" fontId="25" fillId="0" borderId="13" xfId="0" applyFont="1" applyBorder="1" applyAlignment="1">
      <alignment horizontal="center" vertical="center"/>
    </xf>
    <xf numFmtId="49" fontId="25" fillId="0" borderId="7" xfId="1" applyNumberFormat="1" applyFont="1" applyBorder="1" applyAlignment="1">
      <alignment horizontal="center" vertical="center" wrapText="1"/>
    </xf>
    <xf numFmtId="0" fontId="26" fillId="0" borderId="13" xfId="0" applyFont="1" applyBorder="1" applyAlignment="1">
      <alignment horizontal="center" vertical="center" wrapText="1"/>
    </xf>
    <xf numFmtId="0" fontId="26" fillId="7" borderId="13" xfId="0" applyFont="1" applyFill="1" applyBorder="1" applyAlignment="1">
      <alignment horizontal="center" vertical="center" wrapText="1"/>
    </xf>
    <xf numFmtId="0" fontId="25" fillId="7" borderId="10" xfId="1" applyFont="1" applyFill="1" applyBorder="1" applyAlignment="1">
      <alignment horizontal="left" vertical="center" wrapText="1"/>
    </xf>
    <xf numFmtId="0" fontId="25" fillId="12" borderId="13" xfId="0" applyFont="1" applyFill="1" applyBorder="1" applyAlignment="1">
      <alignment horizontal="center" vertical="center" wrapText="1"/>
    </xf>
    <xf numFmtId="0" fontId="26" fillId="8" borderId="10" xfId="0" applyFont="1" applyFill="1" applyBorder="1" applyAlignment="1">
      <alignment horizontal="left" vertical="center" wrapText="1"/>
    </xf>
    <xf numFmtId="0" fontId="25" fillId="7" borderId="13" xfId="0" applyFont="1" applyFill="1" applyBorder="1" applyAlignment="1">
      <alignment horizontal="center" vertical="center" wrapText="1"/>
    </xf>
    <xf numFmtId="0" fontId="25" fillId="12" borderId="10" xfId="1" applyFont="1" applyFill="1" applyBorder="1" applyAlignment="1">
      <alignment horizontal="left" vertical="center" wrapText="1"/>
    </xf>
    <xf numFmtId="0" fontId="25" fillId="0" borderId="37" xfId="0" applyFont="1" applyBorder="1" applyAlignment="1">
      <alignment horizontal="center" vertical="center" wrapText="1"/>
    </xf>
    <xf numFmtId="0" fontId="20" fillId="8" borderId="38" xfId="0" applyFont="1" applyFill="1" applyBorder="1" applyAlignment="1">
      <alignment horizontal="center" vertical="center" wrapText="1"/>
    </xf>
    <xf numFmtId="0" fontId="25" fillId="8" borderId="38" xfId="1" applyFont="1" applyFill="1" applyBorder="1" applyAlignment="1">
      <alignment horizontal="center" vertical="center" wrapText="1"/>
    </xf>
    <xf numFmtId="0" fontId="26" fillId="8" borderId="11" xfId="0" applyFont="1" applyFill="1" applyBorder="1" applyAlignment="1">
      <alignment horizontal="left" vertical="center" wrapText="1"/>
    </xf>
    <xf numFmtId="0" fontId="4" fillId="7" borderId="7"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12" borderId="7" xfId="0" applyFont="1" applyFill="1" applyBorder="1" applyAlignment="1">
      <alignment horizontal="center" vertical="center" wrapText="1"/>
    </xf>
    <xf numFmtId="0" fontId="4" fillId="12" borderId="10" xfId="0" applyFont="1" applyFill="1" applyBorder="1" applyAlignment="1">
      <alignment horizontal="center" vertical="center" wrapText="1"/>
    </xf>
    <xf numFmtId="0" fontId="12" fillId="12" borderId="7" xfId="0" applyFont="1" applyFill="1" applyBorder="1" applyAlignment="1">
      <alignment vertical="center" wrapText="1"/>
    </xf>
    <xf numFmtId="0" fontId="12" fillId="12" borderId="7"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26" fillId="12" borderId="7" xfId="0" applyFont="1" applyFill="1" applyBorder="1" applyAlignment="1">
      <alignment horizontal="center" vertical="center" wrapText="1"/>
    </xf>
    <xf numFmtId="0" fontId="25" fillId="13" borderId="10" xfId="0" applyFont="1" applyFill="1" applyBorder="1" applyAlignment="1">
      <alignment horizontal="left" vertical="center" wrapText="1"/>
    </xf>
    <xf numFmtId="0" fontId="25" fillId="7" borderId="35" xfId="1" applyFont="1" applyFill="1" applyBorder="1" applyAlignment="1">
      <alignment horizontal="left" vertical="center" wrapText="1"/>
    </xf>
    <xf numFmtId="0" fontId="4" fillId="12" borderId="13" xfId="0" applyFont="1" applyFill="1" applyBorder="1" applyAlignment="1">
      <alignment horizontal="center" vertical="center"/>
    </xf>
    <xf numFmtId="0" fontId="20" fillId="12" borderId="7" xfId="0" applyFont="1" applyFill="1" applyBorder="1" applyAlignment="1">
      <alignment horizontal="left" vertical="center" wrapText="1"/>
    </xf>
    <xf numFmtId="0" fontId="4" fillId="7" borderId="13" xfId="0" applyFont="1" applyFill="1" applyBorder="1" applyAlignment="1">
      <alignment horizontal="center" vertical="center"/>
    </xf>
    <xf numFmtId="0" fontId="25" fillId="7" borderId="10" xfId="1" applyFont="1" applyFill="1" applyBorder="1" applyAlignment="1">
      <alignment horizontal="center" vertical="center" wrapText="1"/>
    </xf>
    <xf numFmtId="0" fontId="28" fillId="11" borderId="21" xfId="0" applyFont="1" applyFill="1" applyBorder="1" applyAlignment="1">
      <alignment horizontal="center" vertical="center"/>
    </xf>
    <xf numFmtId="0" fontId="25" fillId="0" borderId="9" xfId="0" applyFont="1" applyBorder="1" applyAlignment="1">
      <alignment horizontal="center" vertical="center"/>
    </xf>
    <xf numFmtId="0" fontId="25" fillId="8" borderId="19" xfId="0" applyFont="1" applyFill="1" applyBorder="1" applyAlignment="1">
      <alignment horizontal="center" vertical="center"/>
    </xf>
    <xf numFmtId="0" fontId="25" fillId="8" borderId="7" xfId="0" applyFont="1" applyFill="1" applyBorder="1" applyAlignment="1">
      <alignment horizontal="center" vertical="center"/>
    </xf>
    <xf numFmtId="0" fontId="20" fillId="0" borderId="0" xfId="0" applyFont="1" applyAlignment="1">
      <alignment horizontal="center" vertical="center"/>
    </xf>
    <xf numFmtId="0" fontId="28" fillId="11" borderId="21" xfId="0" applyFont="1" applyFill="1" applyBorder="1" applyAlignment="1">
      <alignment horizontal="center" vertical="center" wrapText="1"/>
    </xf>
    <xf numFmtId="0" fontId="25" fillId="8" borderId="19" xfId="0" applyFont="1" applyFill="1" applyBorder="1" applyAlignment="1">
      <alignment horizontal="center" vertical="center" wrapText="1"/>
    </xf>
    <xf numFmtId="0" fontId="25" fillId="8" borderId="7" xfId="0" applyFont="1" applyFill="1" applyBorder="1" applyAlignment="1">
      <alignment horizontal="center" vertical="center" wrapText="1"/>
    </xf>
    <xf numFmtId="0" fontId="20" fillId="0" borderId="0" xfId="0" applyFont="1" applyAlignment="1">
      <alignment horizontal="center" vertical="center" wrapText="1"/>
    </xf>
    <xf numFmtId="0" fontId="4" fillId="12" borderId="35" xfId="0" applyFont="1" applyFill="1" applyBorder="1" applyAlignment="1">
      <alignment horizontal="center" vertical="center"/>
    </xf>
    <xf numFmtId="0" fontId="4" fillId="12" borderId="7" xfId="0" applyFont="1" applyFill="1" applyBorder="1" applyAlignment="1">
      <alignment horizontal="center" vertical="center"/>
    </xf>
    <xf numFmtId="0" fontId="4" fillId="12" borderId="38" xfId="0" applyFont="1" applyFill="1" applyBorder="1" applyAlignment="1">
      <alignment horizontal="center" vertical="center"/>
    </xf>
    <xf numFmtId="0" fontId="4" fillId="8" borderId="35"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0" fillId="0" borderId="0" xfId="0" applyAlignment="1">
      <alignment horizontal="center"/>
    </xf>
    <xf numFmtId="0" fontId="20" fillId="12" borderId="35" xfId="0" applyFont="1" applyFill="1" applyBorder="1" applyAlignment="1">
      <alignment horizontal="left" vertical="center" wrapText="1"/>
    </xf>
    <xf numFmtId="0" fontId="20" fillId="12" borderId="38" xfId="0" applyFont="1" applyFill="1" applyBorder="1" applyAlignment="1">
      <alignment horizontal="left" vertical="center" wrapText="1"/>
    </xf>
    <xf numFmtId="9" fontId="4" fillId="0" borderId="38" xfId="0" applyNumberFormat="1" applyFont="1" applyBorder="1" applyAlignment="1">
      <alignment horizontal="center" vertical="center" wrapText="1"/>
    </xf>
    <xf numFmtId="0" fontId="4" fillId="8" borderId="38" xfId="0" applyFont="1" applyFill="1" applyBorder="1" applyAlignment="1">
      <alignment horizontal="center" vertical="center" wrapText="1"/>
    </xf>
    <xf numFmtId="0" fontId="4" fillId="0" borderId="11" xfId="0" applyFont="1" applyBorder="1" applyAlignment="1">
      <alignment horizontal="left" vertical="center" wrapText="1"/>
    </xf>
    <xf numFmtId="0" fontId="17" fillId="11" borderId="1" xfId="0" applyFont="1" applyFill="1" applyBorder="1" applyAlignment="1">
      <alignment horizontal="center" vertical="center"/>
    </xf>
    <xf numFmtId="0" fontId="8" fillId="11" borderId="2"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4" xfId="0" applyFont="1" applyFill="1" applyBorder="1" applyAlignment="1">
      <alignment horizontal="center" vertic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19" fillId="4" borderId="16" xfId="0" applyFont="1" applyFill="1" applyBorder="1" applyAlignment="1">
      <alignment horizontal="center" vertical="center" wrapText="1"/>
    </xf>
    <xf numFmtId="0" fontId="19" fillId="4" borderId="17" xfId="0" applyFont="1" applyFill="1" applyBorder="1" applyAlignment="1">
      <alignment horizontal="center" vertical="center" wrapText="1"/>
    </xf>
    <xf numFmtId="0" fontId="20" fillId="0" borderId="40" xfId="0" applyFont="1" applyBorder="1" applyAlignment="1">
      <alignment horizontal="left" vertical="center" wrapText="1"/>
    </xf>
    <xf numFmtId="0" fontId="20" fillId="0" borderId="42" xfId="0" applyFont="1" applyBorder="1" applyAlignment="1">
      <alignment horizontal="left" vertical="center" wrapText="1"/>
    </xf>
    <xf numFmtId="0" fontId="5" fillId="5" borderId="14" xfId="0" applyFont="1" applyFill="1" applyBorder="1" applyAlignment="1">
      <alignment horizontal="center"/>
    </xf>
    <xf numFmtId="0" fontId="21" fillId="5" borderId="14" xfId="0" applyFont="1" applyFill="1" applyBorder="1" applyAlignment="1">
      <alignment horizontal="center"/>
    </xf>
    <xf numFmtId="0" fontId="19" fillId="3" borderId="29"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20" fillId="0" borderId="39" xfId="0" applyFont="1" applyBorder="1" applyAlignment="1">
      <alignment horizontal="left" vertical="center" wrapText="1"/>
    </xf>
    <xf numFmtId="0" fontId="20" fillId="0" borderId="9" xfId="0" applyFont="1" applyBorder="1" applyAlignment="1">
      <alignment horizontal="left" vertical="center" wrapText="1"/>
    </xf>
    <xf numFmtId="0" fontId="19" fillId="2" borderId="16" xfId="0" applyFont="1" applyFill="1" applyBorder="1" applyAlignment="1">
      <alignment horizontal="center" vertical="center" wrapText="1"/>
    </xf>
    <xf numFmtId="0" fontId="20" fillId="0" borderId="41" xfId="0" applyFont="1" applyBorder="1" applyAlignment="1">
      <alignment horizontal="left" vertical="center" wrapText="1"/>
    </xf>
    <xf numFmtId="0" fontId="22" fillId="0" borderId="12" xfId="0" applyFont="1" applyBorder="1" applyAlignment="1">
      <alignment horizontal="center" vertical="center"/>
    </xf>
    <xf numFmtId="0" fontId="15" fillId="0" borderId="0" xfId="0" applyFont="1" applyAlignment="1">
      <alignment horizontal="center" vertical="center"/>
    </xf>
    <xf numFmtId="0" fontId="15" fillId="0" borderId="24"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21" fillId="0" borderId="18" xfId="0" applyFont="1" applyBorder="1" applyAlignment="1">
      <alignment horizontal="center" vertical="center"/>
    </xf>
    <xf numFmtId="0" fontId="21" fillId="0" borderId="25" xfId="0" applyFont="1" applyBorder="1" applyAlignment="1">
      <alignment horizontal="center" vertical="center"/>
    </xf>
    <xf numFmtId="0" fontId="29" fillId="0" borderId="0" xfId="0" applyFont="1" applyAlignment="1">
      <alignment horizontal="center" vertical="center"/>
    </xf>
    <xf numFmtId="0" fontId="29" fillId="0" borderId="4" xfId="0" applyFont="1" applyBorder="1" applyAlignment="1">
      <alignment horizontal="center" vertical="center"/>
    </xf>
    <xf numFmtId="0" fontId="29" fillId="0" borderId="5" xfId="0" applyFont="1" applyBorder="1" applyAlignment="1">
      <alignment horizontal="center" vertical="center"/>
    </xf>
    <xf numFmtId="0" fontId="6" fillId="0" borderId="18" xfId="0" applyFont="1" applyBorder="1" applyAlignment="1">
      <alignment horizontal="center" vertical="center"/>
    </xf>
    <xf numFmtId="0" fontId="6" fillId="0" borderId="25" xfId="0" applyFont="1" applyBorder="1" applyAlignment="1">
      <alignment horizontal="center" vertical="center"/>
    </xf>
    <xf numFmtId="0" fontId="17" fillId="0" borderId="18" xfId="0" applyFont="1" applyBorder="1" applyAlignment="1">
      <alignment horizontal="center" vertical="center"/>
    </xf>
    <xf numFmtId="0" fontId="17" fillId="0" borderId="25" xfId="0" applyFont="1" applyBorder="1" applyAlignment="1">
      <alignment horizontal="center" vertical="center"/>
    </xf>
    <xf numFmtId="0" fontId="23" fillId="0" borderId="18" xfId="0" applyFont="1" applyBorder="1" applyAlignment="1">
      <alignment horizontal="center" vertical="center"/>
    </xf>
    <xf numFmtId="0" fontId="23" fillId="0" borderId="25" xfId="0" applyFont="1" applyBorder="1" applyAlignment="1">
      <alignment horizontal="center" vertical="center"/>
    </xf>
    <xf numFmtId="0" fontId="24" fillId="11" borderId="30" xfId="0" applyFont="1" applyFill="1" applyBorder="1" applyAlignment="1">
      <alignment horizontal="center" vertical="center"/>
    </xf>
    <xf numFmtId="0" fontId="24" fillId="11" borderId="2" xfId="0" applyFont="1" applyFill="1" applyBorder="1" applyAlignment="1">
      <alignment horizontal="center" vertical="center"/>
    </xf>
    <xf numFmtId="0" fontId="24" fillId="11" borderId="31" xfId="0" applyFont="1" applyFill="1" applyBorder="1" applyAlignment="1">
      <alignment horizontal="center" vertical="center"/>
    </xf>
    <xf numFmtId="0" fontId="24" fillId="11" borderId="32" xfId="0" applyFont="1" applyFill="1" applyBorder="1" applyAlignment="1">
      <alignment horizontal="center" vertical="center"/>
    </xf>
    <xf numFmtId="0" fontId="24" fillId="11" borderId="5" xfId="0" applyFont="1" applyFill="1" applyBorder="1" applyAlignment="1">
      <alignment horizontal="center" vertical="center"/>
    </xf>
    <xf numFmtId="0" fontId="24" fillId="11" borderId="33" xfId="0" applyFont="1" applyFill="1" applyBorder="1" applyAlignment="1">
      <alignment horizontal="center" vertical="center"/>
    </xf>
    <xf numFmtId="0" fontId="0" fillId="0" borderId="11" xfId="0" applyBorder="1"/>
  </cellXfs>
  <cellStyles count="7">
    <cellStyle name="20% - Accent1 2" xfId="3" xr:uid="{00000000-0005-0000-0000-000000000000}"/>
    <cellStyle name="20% - Accent1 2 2" xfId="6" xr:uid="{2EB172D0-8953-494D-96F9-89A5B28607B8}"/>
    <cellStyle name="Normal" xfId="0" builtinId="0"/>
    <cellStyle name="Normal 2" xfId="2" xr:uid="{00000000-0005-0000-0000-000003000000}"/>
    <cellStyle name="Normal 2 2" xfId="5" xr:uid="{94C5B0CA-D914-46A5-B582-21448342C3B4}"/>
    <cellStyle name="Normal 25 2" xfId="1" xr:uid="{00000000-0005-0000-0000-000004000000}"/>
    <cellStyle name="Per cent" xfId="4" builtinId="5"/>
  </cellStyles>
  <dxfs count="11">
    <dxf>
      <fill>
        <patternFill>
          <bgColor rgb="FF00B050"/>
        </patternFill>
      </fill>
    </dxf>
    <dxf>
      <fill>
        <patternFill>
          <bgColor rgb="FFFFFF00"/>
        </patternFill>
      </fill>
    </dxf>
    <dxf>
      <fill>
        <patternFill>
          <bgColor rgb="FFFF0000"/>
        </patternFill>
      </fill>
    </dxf>
    <dxf>
      <font>
        <b/>
        <i val="0"/>
      </font>
      <fill>
        <patternFill>
          <bgColor rgb="FF00B050"/>
        </patternFill>
      </fill>
    </dxf>
    <dxf>
      <font>
        <b/>
        <i val="0"/>
      </font>
      <fill>
        <patternFill>
          <bgColor rgb="FFFF0000"/>
        </patternFill>
      </fill>
    </dxf>
    <dxf>
      <font>
        <b/>
        <i val="0"/>
      </font>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s>
  <tableStyles count="0" defaultTableStyle="TableStyleMedium2" defaultPivotStyle="PivotStyleLight16"/>
  <colors>
    <mruColors>
      <color rgb="FF00C2CB"/>
      <color rgb="FFCB34A5"/>
      <color rgb="FF0F2457"/>
      <color rgb="FF4D648D"/>
      <color rgb="FF004D7E"/>
      <color rgb="FF44B388"/>
      <color rgb="FF1551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99" Type="http://schemas.openxmlformats.org/officeDocument/2006/relationships/worksheet" Target="worksheets/sheet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Sub-Clauses Implementation Progress </a:t>
            </a:r>
          </a:p>
        </c:rich>
      </c:tx>
      <c:layout>
        <c:manualLayout>
          <c:xMode val="edge"/>
          <c:yMode val="edge"/>
          <c:x val="0.21871591470235058"/>
          <c:y val="3.13009359061990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155199"/>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'Sub-Clauses Implementation'!$C$4:$C$30</c:f>
              <c:strCache>
                <c:ptCount val="26"/>
                <c:pt idx="0">
                  <c:v>Understanding the organization and its context</c:v>
                </c:pt>
                <c:pt idx="1">
                  <c:v>Understanding needs and expectations of interested parties</c:v>
                </c:pt>
                <c:pt idx="2">
                  <c:v>Determining the scope of the information security management system</c:v>
                </c:pt>
                <c:pt idx="3">
                  <c:v>Information security management system</c:v>
                </c:pt>
                <c:pt idx="4">
                  <c:v>Leadership and commitment</c:v>
                </c:pt>
                <c:pt idx="5">
                  <c:v>Policy</c:v>
                </c:pt>
                <c:pt idx="6">
                  <c:v>Organizational roles, responsibilities and authorities</c:v>
                </c:pt>
                <c:pt idx="7">
                  <c:v>Actions to address risks and opportunities</c:v>
                </c:pt>
                <c:pt idx="8">
                  <c:v>Information security objectives and planning to achieve them</c:v>
                </c:pt>
                <c:pt idx="9">
                  <c:v>Resources</c:v>
                </c:pt>
                <c:pt idx="10">
                  <c:v>Competence</c:v>
                </c:pt>
                <c:pt idx="11">
                  <c:v>Awareness</c:v>
                </c:pt>
                <c:pt idx="12">
                  <c:v>Communication</c:v>
                </c:pt>
                <c:pt idx="13">
                  <c:v>Documented information</c:v>
                </c:pt>
                <c:pt idx="14">
                  <c:v>Operational planning and control</c:v>
                </c:pt>
                <c:pt idx="15">
                  <c:v>Information security risk assessment.</c:v>
                </c:pt>
                <c:pt idx="16">
                  <c:v>Information security risk treatment</c:v>
                </c:pt>
                <c:pt idx="17">
                  <c:v>Monitoring, measurement, analysis and evaluation</c:v>
                </c:pt>
                <c:pt idx="18">
                  <c:v>Internal audit</c:v>
                </c:pt>
                <c:pt idx="19">
                  <c:v>Management review</c:v>
                </c:pt>
                <c:pt idx="20">
                  <c:v>Continual improvement</c:v>
                </c:pt>
                <c:pt idx="21">
                  <c:v>Nonconformity and corrective action</c:v>
                </c:pt>
                <c:pt idx="22">
                  <c:v>Organizational controls</c:v>
                </c:pt>
                <c:pt idx="23">
                  <c:v>People controls</c:v>
                </c:pt>
                <c:pt idx="24">
                  <c:v>Physical controls</c:v>
                </c:pt>
                <c:pt idx="25">
                  <c:v>Technological controls</c:v>
                </c:pt>
              </c:strCache>
            </c:strRef>
          </c:cat>
          <c:val>
            <c:numRef>
              <c:f>'Sub-Clauses Implementation'!$E$4:$E$30</c:f>
              <c:numCache>
                <c:formatCode>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19C7-4A66-826A-FEEECE76EB3E}"/>
            </c:ext>
          </c:extLst>
        </c:ser>
        <c:dLbls>
          <c:showLegendKey val="0"/>
          <c:showVal val="0"/>
          <c:showCatName val="0"/>
          <c:showSerName val="0"/>
          <c:showPercent val="0"/>
          <c:showBubbleSize val="0"/>
        </c:dLbls>
        <c:gapWidth val="150"/>
        <c:shape val="box"/>
        <c:axId val="634538784"/>
        <c:axId val="651832736"/>
        <c:axId val="0"/>
      </c:bar3DChart>
      <c:catAx>
        <c:axId val="63453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51832736"/>
        <c:crosses val="autoZero"/>
        <c:auto val="1"/>
        <c:lblAlgn val="ctr"/>
        <c:lblOffset val="100"/>
        <c:noMultiLvlLbl val="0"/>
      </c:catAx>
      <c:valAx>
        <c:axId val="651832736"/>
        <c:scaling>
          <c:orientation val="minMax"/>
        </c:scaling>
        <c:delete val="1"/>
        <c:axPos val="l"/>
        <c:numFmt formatCode="0%" sourceLinked="1"/>
        <c:majorTickMark val="none"/>
        <c:minorTickMark val="none"/>
        <c:tickLblPos val="nextTo"/>
        <c:crossAx val="63453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Main Clauses Implementation Progress</a:t>
            </a:r>
          </a:p>
        </c:rich>
      </c:tx>
      <c:layout>
        <c:manualLayout>
          <c:xMode val="edge"/>
          <c:yMode val="edge"/>
          <c:x val="0.2586042632521402"/>
          <c:y val="1.95217149104091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rgbClr val="44B3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Clauses Implementation'!$C$4:$C$11</c:f>
              <c:strCache>
                <c:ptCount val="8"/>
                <c:pt idx="0">
                  <c:v>4. Context</c:v>
                </c:pt>
                <c:pt idx="1">
                  <c:v>5. Leadership</c:v>
                </c:pt>
                <c:pt idx="2">
                  <c:v>6. Planning</c:v>
                </c:pt>
                <c:pt idx="3">
                  <c:v>7. Support</c:v>
                </c:pt>
                <c:pt idx="4">
                  <c:v>8. Operation</c:v>
                </c:pt>
                <c:pt idx="5">
                  <c:v>9. Evaluation</c:v>
                </c:pt>
                <c:pt idx="6">
                  <c:v>10. Improvement </c:v>
                </c:pt>
                <c:pt idx="7">
                  <c:v>Annex A. Controls</c:v>
                </c:pt>
              </c:strCache>
            </c:strRef>
          </c:cat>
          <c:val>
            <c:numRef>
              <c:f>'Main Clauses Implementation'!$E$4:$E$11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686-4AC9-9FA5-61C67600B202}"/>
            </c:ext>
          </c:extLst>
        </c:ser>
        <c:dLbls>
          <c:showLegendKey val="0"/>
          <c:showVal val="1"/>
          <c:showCatName val="0"/>
          <c:showSerName val="0"/>
          <c:showPercent val="0"/>
          <c:showBubbleSize val="0"/>
        </c:dLbls>
        <c:gapWidth val="150"/>
        <c:axId val="631346912"/>
        <c:axId val="651732896"/>
      </c:barChart>
      <c:catAx>
        <c:axId val="63134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51732896"/>
        <c:crosses val="autoZero"/>
        <c:auto val="1"/>
        <c:lblAlgn val="ctr"/>
        <c:lblOffset val="100"/>
        <c:noMultiLvlLbl val="0"/>
      </c:catAx>
      <c:valAx>
        <c:axId val="651732896"/>
        <c:scaling>
          <c:orientation val="minMax"/>
        </c:scaling>
        <c:delete val="1"/>
        <c:axPos val="b"/>
        <c:numFmt formatCode="0%" sourceLinked="1"/>
        <c:majorTickMark val="none"/>
        <c:minorTickMark val="none"/>
        <c:tickLblPos val="nextTo"/>
        <c:crossAx val="63134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222250</xdr:colOff>
      <xdr:row>0</xdr:row>
      <xdr:rowOff>0</xdr:rowOff>
    </xdr:from>
    <xdr:to>
      <xdr:col>1</xdr:col>
      <xdr:colOff>1200150</xdr:colOff>
      <xdr:row>3</xdr:row>
      <xdr:rowOff>97790</xdr:rowOff>
    </xdr:to>
    <xdr:pic>
      <xdr:nvPicPr>
        <xdr:cNvPr id="11" name="Picture 10">
          <a:extLst>
            <a:ext uri="{FF2B5EF4-FFF2-40B4-BE49-F238E27FC236}">
              <a16:creationId xmlns:a16="http://schemas.microsoft.com/office/drawing/2014/main" id="{1F429403-146C-4805-BB6A-855821025158}"/>
            </a:ext>
          </a:extLst>
        </xdr:cNvPr>
        <xdr:cNvPicPr>
          <a:picLocks noChangeAspect="1"/>
        </xdr:cNvPicPr>
      </xdr:nvPicPr>
      <xdr:blipFill rotWithShape="1">
        <a:blip xmlns:r="http://schemas.openxmlformats.org/officeDocument/2006/relationships" r:embed="rId1"/>
        <a:srcRect l="1389" t="2778" r="1389" b="2778"/>
        <a:stretch/>
      </xdr:blipFill>
      <xdr:spPr>
        <a:xfrm>
          <a:off x="222250" y="0"/>
          <a:ext cx="1289050" cy="1031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84666</xdr:colOff>
      <xdr:row>0</xdr:row>
      <xdr:rowOff>74083</xdr:rowOff>
    </xdr:from>
    <xdr:to>
      <xdr:col>2</xdr:col>
      <xdr:colOff>1008956</xdr:colOff>
      <xdr:row>1</xdr:row>
      <xdr:rowOff>560916</xdr:rowOff>
    </xdr:to>
    <xdr:pic>
      <xdr:nvPicPr>
        <xdr:cNvPr id="2" name="Picture 1">
          <a:extLst>
            <a:ext uri="{FF2B5EF4-FFF2-40B4-BE49-F238E27FC236}">
              <a16:creationId xmlns:a16="http://schemas.microsoft.com/office/drawing/2014/main" id="{AB0A93E2-B709-4A23-8CF5-C751D5EB468C}"/>
            </a:ext>
          </a:extLst>
        </xdr:cNvPr>
        <xdr:cNvPicPr>
          <a:picLocks noChangeAspect="1"/>
        </xdr:cNvPicPr>
      </xdr:nvPicPr>
      <xdr:blipFill>
        <a:blip xmlns:r="http://schemas.openxmlformats.org/officeDocument/2006/relationships" r:embed="rId1"/>
        <a:stretch>
          <a:fillRect/>
        </a:stretch>
      </xdr:blipFill>
      <xdr:spPr>
        <a:xfrm>
          <a:off x="84666" y="74083"/>
          <a:ext cx="2505440" cy="11789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387350</xdr:colOff>
      <xdr:row>0</xdr:row>
      <xdr:rowOff>0</xdr:rowOff>
    </xdr:from>
    <xdr:to>
      <xdr:col>1</xdr:col>
      <xdr:colOff>1722194</xdr:colOff>
      <xdr:row>2</xdr:row>
      <xdr:rowOff>266700</xdr:rowOff>
    </xdr:to>
    <xdr:pic>
      <xdr:nvPicPr>
        <xdr:cNvPr id="5" name="Picture 4">
          <a:extLst>
            <a:ext uri="{FF2B5EF4-FFF2-40B4-BE49-F238E27FC236}">
              <a16:creationId xmlns:a16="http://schemas.microsoft.com/office/drawing/2014/main" id="{13BDBB0C-A3B4-41D8-3643-220B33F62B73}"/>
            </a:ext>
          </a:extLst>
        </xdr:cNvPr>
        <xdr:cNvPicPr>
          <a:picLocks noChangeAspect="1"/>
        </xdr:cNvPicPr>
      </xdr:nvPicPr>
      <xdr:blipFill>
        <a:blip xmlns:r="http://schemas.openxmlformats.org/officeDocument/2006/relationships" r:embed="rId1"/>
        <a:stretch>
          <a:fillRect/>
        </a:stretch>
      </xdr:blipFill>
      <xdr:spPr>
        <a:xfrm>
          <a:off x="387350" y="0"/>
          <a:ext cx="1880944" cy="1289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158750</xdr:colOff>
      <xdr:row>0</xdr:row>
      <xdr:rowOff>0</xdr:rowOff>
    </xdr:from>
    <xdr:to>
      <xdr:col>1</xdr:col>
      <xdr:colOff>1173200</xdr:colOff>
      <xdr:row>2</xdr:row>
      <xdr:rowOff>55563</xdr:rowOff>
    </xdr:to>
    <xdr:pic>
      <xdr:nvPicPr>
        <xdr:cNvPr id="4" name="Picture 3">
          <a:extLst>
            <a:ext uri="{FF2B5EF4-FFF2-40B4-BE49-F238E27FC236}">
              <a16:creationId xmlns:a16="http://schemas.microsoft.com/office/drawing/2014/main" id="{F818F996-5C18-447A-84DB-FD06F24ACD30}"/>
            </a:ext>
          </a:extLst>
        </xdr:cNvPr>
        <xdr:cNvPicPr>
          <a:picLocks noChangeAspect="1"/>
        </xdr:cNvPicPr>
      </xdr:nvPicPr>
      <xdr:blipFill>
        <a:blip xmlns:r="http://schemas.openxmlformats.org/officeDocument/2006/relationships" r:embed="rId1"/>
        <a:stretch>
          <a:fillRect/>
        </a:stretch>
      </xdr:blipFill>
      <xdr:spPr>
        <a:xfrm>
          <a:off x="158750" y="0"/>
          <a:ext cx="1331950" cy="9128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1</xdr:col>
      <xdr:colOff>781050</xdr:colOff>
      <xdr:row>2</xdr:row>
      <xdr:rowOff>191484</xdr:rowOff>
    </xdr:to>
    <xdr:pic>
      <xdr:nvPicPr>
        <xdr:cNvPr id="4" name="Picture 3">
          <a:extLst>
            <a:ext uri="{FF2B5EF4-FFF2-40B4-BE49-F238E27FC236}">
              <a16:creationId xmlns:a16="http://schemas.microsoft.com/office/drawing/2014/main" id="{0EE2ECA5-7734-417F-9854-16DFBA3E924F}"/>
            </a:ext>
          </a:extLst>
        </xdr:cNvPr>
        <xdr:cNvPicPr>
          <a:picLocks noChangeAspect="1"/>
        </xdr:cNvPicPr>
      </xdr:nvPicPr>
      <xdr:blipFill>
        <a:blip xmlns:r="http://schemas.openxmlformats.org/officeDocument/2006/relationships" r:embed="rId1"/>
        <a:stretch>
          <a:fillRect/>
        </a:stretch>
      </xdr:blipFill>
      <xdr:spPr>
        <a:xfrm>
          <a:off x="12700" y="0"/>
          <a:ext cx="1187450" cy="81378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3</xdr:row>
      <xdr:rowOff>47625</xdr:rowOff>
    </xdr:from>
    <xdr:to>
      <xdr:col>8</xdr:col>
      <xdr:colOff>1819275</xdr:colOff>
      <xdr:row>23</xdr:row>
      <xdr:rowOff>38100</xdr:rowOff>
    </xdr:to>
    <xdr:graphicFrame macro="">
      <xdr:nvGraphicFramePr>
        <xdr:cNvPr id="13" name="Chart 4">
          <a:extLst>
            <a:ext uri="{FF2B5EF4-FFF2-40B4-BE49-F238E27FC236}">
              <a16:creationId xmlns:a16="http://schemas.microsoft.com/office/drawing/2014/main" id="{BD8ABC69-0B22-4ED0-A378-364546616648}"/>
            </a:ext>
            <a:ext uri="{147F2762-F138-4A5C-976F-8EAC2B608ADB}">
              <a16:predDERef xmlns:a16="http://schemas.microsoft.com/office/drawing/2014/main" pred="{557AB162-6020-4E76-A912-99AC3A1DE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2085975</xdr:colOff>
      <xdr:row>2</xdr:row>
      <xdr:rowOff>133350</xdr:rowOff>
    </xdr:from>
    <xdr:to>
      <xdr:col>8</xdr:col>
      <xdr:colOff>7839075</xdr:colOff>
      <xdr:row>23</xdr:row>
      <xdr:rowOff>28575</xdr:rowOff>
    </xdr:to>
    <xdr:graphicFrame macro="">
      <xdr:nvGraphicFramePr>
        <xdr:cNvPr id="12" name="Chart 5">
          <a:extLst>
            <a:ext uri="{FF2B5EF4-FFF2-40B4-BE49-F238E27FC236}">
              <a16:creationId xmlns:a16="http://schemas.microsoft.com/office/drawing/2014/main" id="{A42CD82B-3190-4085-9B0F-5F05E03A3FCC}"/>
            </a:ext>
            <a:ext uri="{147F2762-F138-4A5C-976F-8EAC2B608ADB}">
              <a16:predDERef xmlns:a16="http://schemas.microsoft.com/office/drawing/2014/main" pred="{BD8ABC69-0B22-4ED0-A378-364546616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95249</xdr:colOff>
      <xdr:row>0</xdr:row>
      <xdr:rowOff>0</xdr:rowOff>
    </xdr:from>
    <xdr:to>
      <xdr:col>3</xdr:col>
      <xdr:colOff>575453</xdr:colOff>
      <xdr:row>3</xdr:row>
      <xdr:rowOff>134937</xdr:rowOff>
    </xdr:to>
    <xdr:pic>
      <xdr:nvPicPr>
        <xdr:cNvPr id="5" name="Picture 4">
          <a:extLst>
            <a:ext uri="{FF2B5EF4-FFF2-40B4-BE49-F238E27FC236}">
              <a16:creationId xmlns:a16="http://schemas.microsoft.com/office/drawing/2014/main" id="{159AB92A-6B8F-4D67-9D8E-41398554E5A5}"/>
            </a:ext>
          </a:extLst>
        </xdr:cNvPr>
        <xdr:cNvPicPr>
          <a:picLocks noChangeAspect="1"/>
        </xdr:cNvPicPr>
      </xdr:nvPicPr>
      <xdr:blipFill>
        <a:blip xmlns:r="http://schemas.openxmlformats.org/officeDocument/2006/relationships" r:embed="rId3"/>
        <a:stretch>
          <a:fillRect/>
        </a:stretch>
      </xdr:blipFill>
      <xdr:spPr>
        <a:xfrm>
          <a:off x="317499" y="0"/>
          <a:ext cx="1702579" cy="11668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
  <sheetViews>
    <sheetView workbookViewId="0">
      <selection activeCell="D6" sqref="D6"/>
    </sheetView>
  </sheetViews>
  <sheetFormatPr defaultRowHeight="14.5" x14ac:dyDescent="0.35"/>
  <cols>
    <col min="1" max="1" width="4.453125" customWidth="1"/>
    <col min="2" max="2" width="19.26953125" customWidth="1"/>
    <col min="3" max="3" width="30.7265625" customWidth="1"/>
    <col min="4" max="4" width="78.1796875" customWidth="1"/>
  </cols>
  <sheetData>
    <row r="1" spans="1:5" s="1" customFormat="1" ht="35" customHeight="1" x14ac:dyDescent="0.35">
      <c r="A1" s="141" t="inlineStr">
        <is>
          <t xml:space="preserve">Rating criteria</t>
        </is>
      </c>
      <c r="B1" s="142"/>
      <c r="C1" s="142"/>
      <c r="D1" s="142"/>
      <c r="E1" s="143"/>
    </row>
    <row r="2" spans="1:5" s="1" customFormat="1" ht="24" customHeight="1" thickBot="1" x14ac:dyDescent="0.4">
      <c r="A2" s="144"/>
      <c r="B2" s="145"/>
      <c r="C2" s="145"/>
      <c r="D2" s="145"/>
      <c r="E2" s="146"/>
    </row>
    <row r="3" spans="1:5" x14ac:dyDescent="0.35">
      <c r="A3" s="16"/>
      <c r="B3" s="17"/>
      <c r="C3" s="17"/>
      <c r="D3" s="17"/>
      <c r="E3" s="21"/>
    </row>
    <row r="4" spans="1:5" ht="15" thickBot="1" x14ac:dyDescent="0.4">
      <c r="A4" s="18"/>
      <c r="B4" s="15"/>
      <c r="C4" s="15"/>
      <c r="D4" s="15"/>
      <c r="E4" s="22"/>
    </row>
    <row r="5" spans="1:5" ht="19" thickBot="1" x14ac:dyDescent="0.5">
      <c r="A5" s="18"/>
      <c r="B5" s="151" t="inlineStr">
        <is>
          <t xml:space="preserve">Rating criteria</t>
        </is>
      </c>
      <c r="C5" s="151"/>
      <c r="E5" s="22"/>
    </row>
    <row r="6" spans="1:5" ht="22.5" customHeight="1" thickBot="1" x14ac:dyDescent="0.4">
      <c r="A6" s="18"/>
      <c r="B6" s="78" t="s">
        <v>1</v>
      </c>
      <c r="C6" s="78" t="inlineStr">
        <is>
          <t xml:space="preserve">Meaning</t>
        </is>
      </c>
      <c r="D6" s="79"/>
      <c r="E6" s="22"/>
    </row>
    <row r="7" spans="1:5" ht="22" customHeight="1" x14ac:dyDescent="0.35">
      <c r="A7" s="18"/>
      <c r="B7" s="68" t="inlineStr">
        <is>
          <t xml:space="preserve">Comply</t>
        </is>
      </c>
      <c r="C7" s="71" t="inlineStr">
        <is>
          <t xml:space="preserve">The requirement is implemented and working</t>
        </is>
      </c>
      <c r="D7" s="79"/>
      <c r="E7" s="22"/>
    </row>
    <row r="8" spans="1:5" x14ac:dyDescent="0.35">
      <c r="A8" s="18"/>
      <c r="B8" s="69" t="inlineStr">
        <is>
          <t xml:space="preserve">Partially implemented</t>
        </is>
      </c>
      <c r="C8" s="72" t="inlineStr">
        <is>
          <t xml:space="preserve">Some implementation exists, but it is incomplete</t>
        </is>
      </c>
      <c r="D8" s="79"/>
      <c r="E8" s="22"/>
    </row>
    <row r="9" spans="1:5" ht="26.5" thickBot="1" x14ac:dyDescent="0.4">
      <c r="A9" s="18"/>
      <c r="B9" s="70" t="inlineStr">
        <is>
          <t xml:space="preserve">Not implemented</t>
        </is>
      </c>
      <c r="C9" s="73" t="inlineStr">
        <is>
          <t xml:space="preserve">No implementation of the requirement</t>
        </is>
      </c>
      <c r="D9" s="79"/>
      <c r="E9" s="22"/>
    </row>
    <row r="10" spans="1:5" x14ac:dyDescent="0.35">
      <c r="A10" s="18"/>
      <c r="B10" s="79"/>
      <c r="C10" s="79"/>
      <c r="D10" s="79"/>
      <c r="E10" s="22"/>
    </row>
    <row r="11" spans="1:5" ht="15" thickBot="1" x14ac:dyDescent="0.4">
      <c r="A11" s="18"/>
      <c r="B11" s="79"/>
      <c r="C11" s="79"/>
      <c r="D11" s="79"/>
      <c r="E11" s="22"/>
    </row>
    <row r="12" spans="1:5" ht="15" thickBot="1" x14ac:dyDescent="0.4">
      <c r="A12" s="18"/>
      <c r="B12" s="152" t="inlineStr">
        <is>
          <t xml:space="preserve">Rating criteria in detail</t>
        </is>
      </c>
      <c r="C12" s="152"/>
      <c r="D12" s="152"/>
      <c r="E12" s="22"/>
    </row>
    <row r="13" spans="1:5" ht="22.5" customHeight="1" thickBot="1" x14ac:dyDescent="0.4">
      <c r="A13" s="18"/>
      <c r="B13" s="78" t="s">
        <v>1</v>
      </c>
      <c r="C13" s="80" t="inlineStr">
        <is>
          <t xml:space="preserve">Meaning</t>
        </is>
      </c>
      <c r="D13" s="78" t="s">
        <v>7</v>
      </c>
      <c r="E13" s="22"/>
    </row>
    <row r="14" spans="1:5" ht="15.75" customHeight="1" x14ac:dyDescent="0.35">
      <c r="A14" s="18"/>
      <c r="B14" s="153" t="inlineStr">
        <is>
          <t xml:space="preserve">Comply</t>
        </is>
      </c>
      <c r="C14" s="155" t="inlineStr">
        <is>
          <t xml:space="preserve">The requirement is implemented and working</t>
        </is>
      </c>
      <c r="D14" s="75" t="inlineStr">
        <is>
          <t xml:space="preserve">Objective evidence shows the requirement is implemented and operating,</t>
        </is>
      </c>
      <c r="E14" s="22"/>
    </row>
    <row r="15" spans="1:5" x14ac:dyDescent="0.35">
      <c r="A15" s="18"/>
      <c r="B15" s="154"/>
      <c r="C15" s="156"/>
      <c r="D15" s="74" t="inlineStr">
        <is>
          <t xml:space="preserve">including documented information where the standard requires it.</t>
        </is>
      </c>
      <c r="E15" s="22"/>
    </row>
    <row r="16" spans="1:5" ht="31.5" customHeight="1" x14ac:dyDescent="0.35">
      <c r="A16" s="18"/>
      <c r="B16" s="157" t="inlineStr">
        <is>
          <t xml:space="preserve">Partially implemented</t>
        </is>
      </c>
      <c r="C16" s="149" t="inlineStr">
        <is>
          <t xml:space="preserve">Some implementation exists, but it is incomplete</t>
        </is>
      </c>
      <c r="D16" s="76" t="inlineStr">
        <is>
          <t xml:space="preserve">Practice exists, but documented information the standard requires is missing, or</t>
        </is>
      </c>
      <c r="E16" s="22"/>
    </row>
    <row r="17" spans="1:5" ht="26" x14ac:dyDescent="0.35">
      <c r="A17" s="18"/>
      <c r="B17" s="157"/>
      <c r="C17" s="158"/>
      <c r="D17" s="76" t="inlineStr">
        <is>
          <t xml:space="preserve">documented information exists, but evidence shows it is not consistently applied, or</t>
        </is>
      </c>
      <c r="E17" s="22"/>
    </row>
    <row r="18" spans="1:5" ht="26" x14ac:dyDescent="0.35">
      <c r="A18" s="18"/>
      <c r="B18" s="157"/>
      <c r="C18" s="156"/>
      <c r="D18" s="74" t="inlineStr">
        <is>
          <t xml:space="preserve">only part of the requirement is addressed.</t>
        </is>
      </c>
      <c r="E18" s="22"/>
    </row>
    <row r="19" spans="1:5" x14ac:dyDescent="0.35">
      <c r="A19" s="18"/>
      <c r="B19" s="147" t="inlineStr">
        <is>
          <t xml:space="preserve">Not implemented</t>
        </is>
      </c>
      <c r="C19" s="149" t="inlineStr">
        <is>
          <t xml:space="preserve">No implementation of the requirement</t>
        </is>
      </c>
      <c r="D19" s="74" t="inlineStr">
        <is>
          <t xml:space="preserve">There is no objective evidence that the requirement is implemented.</t>
        </is>
      </c>
      <c r="E19" s="22"/>
    </row>
    <row r="20" spans="1:5" ht="15" thickBot="1" x14ac:dyDescent="0.4">
      <c r="A20" s="18"/>
      <c r="B20" s="148"/>
      <c r="C20" s="150"/>
      <c r="D20" s="77" t="inlineStr">
        <is>
          <t xml:space="preserve">A document alone, with no evidence of practice, is rated Partially implemented, never Comply.</t>
        </is>
      </c>
      <c r="E20" s="22"/>
    </row>
    <row r="21" spans="1:5" ht="15" thickBot="1" x14ac:dyDescent="0.4">
      <c r="A21" s="19"/>
      <c r="B21" s="20"/>
      <c r="C21" s="20"/>
      <c r="D21" s="20"/>
      <c r="E21" s="23"/>
    </row>
    <row r="23">
      <c r="B23" t="inlineStr">
        <is>
          <t xml:space="preserve">Notes</t>
        </is>
      </c>
    </row>
    <row r="24">
      <c r="B24" t="inlineStr">
        <is>
          <t xml:space="preserve">Use these ratings for every question. "OFI" (opportunity for improvement) keeps its audit meaning and is not a gap-analysis rating.</t>
        </is>
      </c>
    </row>
    <row r="25">
      <c r="B25" t="inlineStr">
        <is>
          <t xml:space="preserve">A gap-analysis finding is a gap, not a nonconformity: before implementation there is no ISMS that can fail to conform.</t>
        </is>
      </c>
    </row>
    <row r="26">
      <c r="B26" t="inlineStr">
        <is>
          <t xml:space="preserve">Actions that close gaps are remedial actions. Corrective action (ISO/IEC 27001 10.2) applies to nonconformities in an operating ISMS.</t>
        </is>
      </c>
    </row>
    <row r="27">
      <c r="B27" t="inlineStr">
        <is>
          <t xml:space="preserve">The plan and progress sheets use FILTER, XLOOKUP and TEXTBEFORE: Excel 2021 or Microsoft 365 is required.</t>
        </is>
      </c>
    </row>
    <row r="28">
      <c r="B28" t="inlineStr">
        <is>
          <t xml:space="preserve">The Transition sheet is historical and not used in this workflow.</t>
        </is>
      </c>
    </row>
  </sheetData>
  <mergeCells count="9">
    <mergeCell ref="A1:E2"/>
    <mergeCell ref="B19:B20"/>
    <mergeCell ref="C19:C20"/>
    <mergeCell ref="B5:C5"/>
    <mergeCell ref="B12:D12"/>
    <mergeCell ref="B14:B15"/>
    <mergeCell ref="C14:C15"/>
    <mergeCell ref="B16:B18"/>
    <mergeCell ref="C16:C18"/>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1"/>
  <sheetViews>
    <sheetView topLeftCell="A206" zoomScale="60" zoomScaleNormal="60" workbookViewId="0">
      <selection activeCell="B211" sqref="B211"/>
    </sheetView>
  </sheetViews>
  <sheetFormatPr defaultColWidth="9.1796875" defaultRowHeight="18.5" x14ac:dyDescent="0.35"/>
  <cols>
    <col min="1" max="1" width="5.81640625" style="45" bestFit="1" customWidth="1"/>
    <col min="2" max="2" width="16.81640625" style="45" customWidth="1"/>
    <col min="3" max="3" width="17.1796875" style="45" customWidth="1"/>
    <col min="4" max="4" width="39.7265625" style="46" customWidth="1"/>
    <col min="5" max="5" width="11" style="47" customWidth="1"/>
    <col min="6" max="6" width="39.7265625" style="50" customWidth="1"/>
    <col min="7" max="7" width="31.1796875" style="46" customWidth="1"/>
    <col min="8" max="8" width="38.26953125" style="46" customWidth="1"/>
    <col min="9" max="9" width="40" style="46" customWidth="1"/>
    <col min="10" max="10" width="37.54296875" style="46" customWidth="1"/>
    <col min="11" max="11" width="35.7265625" style="46" customWidth="1"/>
    <col min="12" max="16384" width="9.1796875" style="44"/>
  </cols>
  <sheetData>
    <row r="1" spans="1:11" ht="54.75" customHeight="1" x14ac:dyDescent="0.35">
      <c r="A1" s="159" t="inlineStr">
        <is>
          <t xml:space="preserve">MSM Gap Analysis Tool v2.0 · ISO/IEC 27001:2022 ISMS gap analysis checklist</t>
        </is>
      </c>
      <c r="B1" s="160"/>
      <c r="C1" s="160"/>
      <c r="D1" s="160"/>
      <c r="E1" s="160"/>
      <c r="F1" s="160"/>
      <c r="G1" s="160"/>
      <c r="H1" s="160"/>
      <c r="I1" s="160"/>
      <c r="J1" s="160"/>
      <c r="K1" s="161"/>
    </row>
    <row r="2" spans="1:11" ht="54.75" customHeight="1" thickBot="1" x14ac:dyDescent="0.4">
      <c r="A2" s="162"/>
      <c r="B2" s="163"/>
      <c r="C2" s="163"/>
      <c r="D2" s="163"/>
      <c r="E2" s="163"/>
      <c r="F2" s="163"/>
      <c r="G2" s="163"/>
      <c r="H2" s="163"/>
      <c r="I2" s="163"/>
      <c r="J2" s="163"/>
      <c r="K2" s="164"/>
    </row>
    <row r="3" spans="1:11" s="56" customFormat="1" ht="66.75" customHeight="1" thickBot="1" x14ac:dyDescent="0.4">
      <c r="A3" s="62" t="s">
        <v>8</v>
      </c>
      <c r="B3" s="62" t="s">
        <v>9</v>
      </c>
      <c r="C3" s="62" t="s">
        <v>10</v>
      </c>
      <c r="D3" s="62" t="inlineStr">
        <is>
          <t xml:space="preserve">ISO/IEC 27001:2022 questions</t>
        </is>
      </c>
      <c r="E3" s="63" t="s">
        <v>1</v>
      </c>
      <c r="F3" s="64" t="inlineStr">
        <is>
          <t xml:space="preserve">Objective evidence (Comply)</t>
        </is>
      </c>
      <c r="G3" s="64" t="s">
        <v>13</v>
      </c>
      <c r="H3" s="64" t="inlineStr">
        <is>
          <t xml:space="preserve">Main root cause (Partially implemented)</t>
        </is>
      </c>
      <c r="I3" s="64" t="inlineStr">
        <is>
          <t xml:space="preserve">Proposed remedial action (Partially implemented)</t>
        </is>
      </c>
      <c r="J3" s="64" t="inlineStr">
        <is>
          <t xml:space="preserve">Main root cause (Not implemented)</t>
        </is>
      </c>
      <c r="K3" s="65" t="inlineStr">
        <is>
          <t xml:space="preserve">Proposed remedial action (Not implemented)</t>
        </is>
      </c>
    </row>
    <row r="4" spans="1:11" ht="34" customHeight="1" x14ac:dyDescent="0.35">
      <c r="A4" s="85">
        <v>1</v>
      </c>
      <c r="B4" s="86">
        <v>4</v>
      </c>
      <c r="C4" s="87" t="s">
        <v>74</v>
      </c>
      <c r="D4" s="88" t="s">
        <v>39</v>
      </c>
      <c r="E4" s="117"/>
      <c r="F4" s="116"/>
      <c r="G4" s="116"/>
      <c r="H4" s="116"/>
      <c r="I4" s="116"/>
      <c r="J4" s="116"/>
      <c r="K4" s="116"/>
    </row>
    <row r="5" spans="1:11" ht="26" x14ac:dyDescent="0.35">
      <c r="A5" s="89">
        <v>2</v>
      </c>
      <c r="B5" s="114">
        <v>4.0999999999999996</v>
      </c>
      <c r="C5" s="82" t="s">
        <v>74</v>
      </c>
      <c r="D5" s="90" t="s">
        <v>40</v>
      </c>
      <c r="E5" s="117"/>
      <c r="F5" s="118"/>
      <c r="G5" s="109"/>
      <c r="H5" s="109"/>
      <c r="I5" s="109"/>
      <c r="J5" s="109"/>
      <c r="K5" s="110"/>
    </row>
    <row r="6" spans="1:11" ht="52" x14ac:dyDescent="0.35">
      <c r="A6" s="91">
        <v>3</v>
      </c>
      <c r="B6" s="92" t="inlineStr">
        <is>
          <t xml:space="preserve">Q1-4.1</t>
        </is>
      </c>
      <c r="C6" s="93" t="s">
        <v>74</v>
      </c>
      <c r="D6" s="76" t="s">
        <v>76</v>
      </c>
      <c r="E6" s="5"/>
      <c r="F6" s="37"/>
      <c r="G6" s="37"/>
      <c r="H6" s="37"/>
      <c r="I6" s="37"/>
      <c r="J6" s="37"/>
      <c r="K6" s="24"/>
    </row>
    <row r="7" spans="1:11" ht="26" x14ac:dyDescent="0.35">
      <c r="A7" s="94">
        <v>4</v>
      </c>
      <c r="B7" s="95" t="inlineStr">
        <is>
          <t xml:space="preserve">Q2-4.1 (Amd 1)</t>
        </is>
      </c>
      <c r="C7" s="93" t="s">
        <v>74</v>
      </c>
      <c r="D7" s="115" t="s">
        <v>41</v>
      </c>
      <c r="E7" s="5"/>
      <c r="F7" s="37"/>
      <c r="G7" s="37"/>
      <c r="H7" s="37"/>
      <c r="I7" s="37"/>
      <c r="J7" s="37"/>
      <c r="K7" s="24"/>
    </row>
    <row r="8" spans="1:11" ht="26" x14ac:dyDescent="0.35">
      <c r="A8" s="89">
        <v>5</v>
      </c>
      <c r="B8" s="114">
        <v>4.2</v>
      </c>
      <c r="C8" s="82" t="s">
        <v>74</v>
      </c>
      <c r="D8" s="90" t="s">
        <v>78</v>
      </c>
      <c r="E8" s="117"/>
      <c r="F8" s="109"/>
      <c r="G8" s="109"/>
      <c r="H8" s="109"/>
      <c r="I8" s="109"/>
      <c r="J8" s="109"/>
      <c r="K8" s="110"/>
    </row>
    <row r="9" spans="1:11" ht="78" x14ac:dyDescent="0.35">
      <c r="A9" s="91">
        <v>6</v>
      </c>
      <c r="B9" s="92" t="inlineStr">
        <is>
          <t xml:space="preserve">Q3-4.2</t>
        </is>
      </c>
      <c r="C9" s="93" t="s">
        <v>74</v>
      </c>
      <c r="D9" s="76" t="s">
        <v>80</v>
      </c>
      <c r="E9" s="5"/>
      <c r="F9" s="37"/>
      <c r="G9" s="37"/>
      <c r="H9" s="37"/>
      <c r="I9" s="37"/>
      <c r="J9" s="37"/>
      <c r="K9" s="24"/>
    </row>
    <row r="10" spans="1:11" ht="39" x14ac:dyDescent="0.35">
      <c r="A10" s="94">
        <v>7</v>
      </c>
      <c r="B10" s="95" t="inlineStr">
        <is>
          <t xml:space="preserve">Q4-4.2 (Amd 1)</t>
        </is>
      </c>
      <c r="C10" s="93" t="s">
        <v>74</v>
      </c>
      <c r="D10" s="115" t="s">
        <v>82</v>
      </c>
      <c r="E10" s="5"/>
      <c r="F10" s="37"/>
      <c r="G10" s="37"/>
      <c r="H10" s="37"/>
      <c r="I10" s="37"/>
      <c r="J10" s="37"/>
      <c r="K10" s="24"/>
    </row>
    <row r="11" spans="1:11" ht="26" x14ac:dyDescent="0.35">
      <c r="A11" s="89">
        <v>8</v>
      </c>
      <c r="B11" s="114">
        <v>4.3</v>
      </c>
      <c r="C11" s="82" t="s">
        <v>74</v>
      </c>
      <c r="D11" s="90" t="s">
        <v>83</v>
      </c>
      <c r="E11" s="117"/>
      <c r="F11" s="109"/>
      <c r="G11" s="109"/>
      <c r="H11" s="109"/>
      <c r="I11" s="109"/>
      <c r="J11" s="109"/>
      <c r="K11" s="110"/>
    </row>
    <row r="12" spans="1:11" ht="26" x14ac:dyDescent="0.35">
      <c r="A12" s="91">
        <v>9</v>
      </c>
      <c r="B12" s="92" t="inlineStr">
        <is>
          <t xml:space="preserve">Q5-4.3</t>
        </is>
      </c>
      <c r="C12" s="93" t="s">
        <v>74</v>
      </c>
      <c r="D12" s="76" t="s">
        <v>85</v>
      </c>
      <c r="E12" s="5"/>
      <c r="F12" s="37"/>
      <c r="G12" s="37"/>
      <c r="H12" s="37"/>
      <c r="I12" s="37"/>
      <c r="J12" s="37"/>
      <c r="K12" s="24"/>
    </row>
    <row r="13" spans="1:11" ht="39" x14ac:dyDescent="0.35">
      <c r="A13" s="96">
        <v>10</v>
      </c>
      <c r="B13" s="92" t="inlineStr">
        <is>
          <t xml:space="preserve">Q6-4.3.a</t>
        </is>
      </c>
      <c r="C13" s="93" t="s">
        <v>74</v>
      </c>
      <c r="D13" s="76" t="s">
        <v>87</v>
      </c>
      <c r="E13" s="5"/>
      <c r="F13" s="37"/>
      <c r="G13" s="37"/>
      <c r="H13" s="37"/>
      <c r="I13" s="37"/>
      <c r="J13" s="37"/>
      <c r="K13" s="24"/>
    </row>
    <row r="14" spans="1:11" ht="52" x14ac:dyDescent="0.35">
      <c r="A14" s="91">
        <v>11</v>
      </c>
      <c r="B14" s="92" t="inlineStr">
        <is>
          <t xml:space="preserve">Q7-4.3.b</t>
        </is>
      </c>
      <c r="C14" s="93" t="s">
        <v>74</v>
      </c>
      <c r="D14" s="76" t="s">
        <v>89</v>
      </c>
      <c r="E14" s="5"/>
      <c r="F14" s="37"/>
      <c r="G14" s="37"/>
      <c r="H14" s="37"/>
      <c r="I14" s="37"/>
      <c r="J14" s="37"/>
      <c r="K14" s="24"/>
    </row>
    <row r="15" spans="1:11" ht="52" x14ac:dyDescent="0.35">
      <c r="A15" s="96">
        <v>12</v>
      </c>
      <c r="B15" s="92" t="inlineStr">
        <is>
          <t xml:space="preserve">Q8-4.3.c</t>
        </is>
      </c>
      <c r="C15" s="93" t="s">
        <v>74</v>
      </c>
      <c r="D15" s="76" t="s">
        <v>91</v>
      </c>
      <c r="E15" s="5"/>
      <c r="F15" s="37"/>
      <c r="G15" s="37"/>
      <c r="H15" s="37"/>
      <c r="I15" s="37"/>
      <c r="J15" s="37"/>
      <c r="K15" s="24"/>
    </row>
    <row r="16" spans="1:11" ht="39" x14ac:dyDescent="0.35">
      <c r="A16" s="91">
        <v>13</v>
      </c>
      <c r="B16" s="92" t="inlineStr">
        <is>
          <t xml:space="preserve">Q9-4.3</t>
        </is>
      </c>
      <c r="C16" s="93" t="s">
        <v>74</v>
      </c>
      <c r="D16" s="76" t="s">
        <v>93</v>
      </c>
      <c r="E16" s="5"/>
      <c r="F16" s="37"/>
      <c r="G16" s="37"/>
      <c r="H16" s="37"/>
      <c r="I16" s="37"/>
      <c r="J16" s="37"/>
      <c r="K16" s="24"/>
    </row>
    <row r="17" spans="1:11" ht="26" x14ac:dyDescent="0.35">
      <c r="A17" s="89">
        <v>14</v>
      </c>
      <c r="B17" s="81">
        <v>4.4000000000000004</v>
      </c>
      <c r="C17" s="82" t="s">
        <v>74</v>
      </c>
      <c r="D17" s="90" t="s">
        <v>94</v>
      </c>
      <c r="E17" s="117"/>
      <c r="F17" s="109"/>
      <c r="G17" s="109"/>
      <c r="H17" s="109"/>
      <c r="I17" s="109"/>
      <c r="J17" s="109"/>
      <c r="K17" s="110"/>
    </row>
    <row r="18" spans="1:11" ht="65" x14ac:dyDescent="0.35">
      <c r="A18" s="91">
        <v>15</v>
      </c>
      <c r="B18" s="92" t="inlineStr">
        <is>
          <t xml:space="preserve">Q10-4.4</t>
        </is>
      </c>
      <c r="C18" s="93" t="s">
        <v>74</v>
      </c>
      <c r="D18" s="76" t="s">
        <v>96</v>
      </c>
      <c r="E18" s="5"/>
      <c r="F18" s="37"/>
      <c r="G18" s="37"/>
      <c r="H18" s="37"/>
      <c r="I18" s="37"/>
      <c r="J18" s="37"/>
      <c r="K18" s="24"/>
    </row>
    <row r="19" spans="1:11" x14ac:dyDescent="0.35">
      <c r="A19" s="97">
        <v>16</v>
      </c>
      <c r="B19" s="83">
        <v>5</v>
      </c>
      <c r="C19" s="84" t="s">
        <v>19</v>
      </c>
      <c r="D19" s="98" t="s">
        <v>97</v>
      </c>
      <c r="E19" s="119"/>
      <c r="F19" s="84"/>
      <c r="G19" s="84"/>
      <c r="H19" s="84"/>
      <c r="I19" s="84"/>
      <c r="J19" s="84"/>
      <c r="K19" s="120"/>
    </row>
    <row r="20" spans="1:11" x14ac:dyDescent="0.35">
      <c r="A20" s="99">
        <v>17</v>
      </c>
      <c r="B20" s="81">
        <v>5.0999999999999996</v>
      </c>
      <c r="C20" s="82" t="s">
        <v>19</v>
      </c>
      <c r="D20" s="90" t="s">
        <v>49</v>
      </c>
      <c r="E20" s="117"/>
      <c r="F20" s="109"/>
      <c r="G20" s="109"/>
      <c r="H20" s="109"/>
      <c r="I20" s="109"/>
      <c r="J20" s="109"/>
      <c r="K20" s="110"/>
    </row>
    <row r="21" spans="1:11" ht="52" x14ac:dyDescent="0.35">
      <c r="A21" s="96">
        <v>18</v>
      </c>
      <c r="B21" s="92" t="inlineStr">
        <is>
          <t xml:space="preserve">Q11-5.1.a</t>
        </is>
      </c>
      <c r="C21" s="93" t="s">
        <v>19</v>
      </c>
      <c r="D21" s="76" t="s">
        <v>99</v>
      </c>
      <c r="E21" s="5"/>
      <c r="F21" s="37"/>
      <c r="G21" s="37"/>
      <c r="H21" s="37"/>
      <c r="I21" s="37"/>
      <c r="J21" s="37"/>
      <c r="K21" s="24"/>
    </row>
    <row r="22" spans="1:11" ht="39" x14ac:dyDescent="0.35">
      <c r="A22" s="91">
        <v>19</v>
      </c>
      <c r="B22" s="92" t="inlineStr">
        <is>
          <t xml:space="preserve">Q12-5.1.b</t>
        </is>
      </c>
      <c r="C22" s="93" t="s">
        <v>19</v>
      </c>
      <c r="D22" s="76" t="s">
        <v>101</v>
      </c>
      <c r="E22" s="5"/>
      <c r="F22" s="37"/>
      <c r="G22" s="37"/>
      <c r="H22" s="37"/>
      <c r="I22" s="37"/>
      <c r="J22" s="37"/>
      <c r="K22" s="24"/>
    </row>
    <row r="23" spans="1:11" ht="26" x14ac:dyDescent="0.35">
      <c r="A23" s="96">
        <v>20</v>
      </c>
      <c r="B23" s="92" t="inlineStr">
        <is>
          <t xml:space="preserve">Q13-5.1.c</t>
        </is>
      </c>
      <c r="C23" s="93" t="s">
        <v>19</v>
      </c>
      <c r="D23" s="76" t="s">
        <v>103</v>
      </c>
      <c r="E23" s="5"/>
      <c r="F23" s="37"/>
      <c r="G23" s="37"/>
      <c r="H23" s="37"/>
      <c r="I23" s="37"/>
      <c r="J23" s="37"/>
      <c r="K23" s="24"/>
    </row>
    <row r="24" spans="1:11" ht="52" x14ac:dyDescent="0.35">
      <c r="A24" s="91">
        <v>21</v>
      </c>
      <c r="B24" s="92" t="inlineStr">
        <is>
          <t xml:space="preserve">Q14-5.1.d</t>
        </is>
      </c>
      <c r="C24" s="93" t="s">
        <v>19</v>
      </c>
      <c r="D24" s="76" t="s">
        <v>105</v>
      </c>
      <c r="E24" s="5"/>
      <c r="F24" s="37"/>
      <c r="G24" s="37"/>
      <c r="H24" s="37"/>
      <c r="I24" s="37"/>
      <c r="J24" s="37"/>
      <c r="K24" s="24"/>
    </row>
    <row r="25" spans="1:11" ht="39" x14ac:dyDescent="0.35">
      <c r="A25" s="96">
        <v>22</v>
      </c>
      <c r="B25" s="92" t="inlineStr">
        <is>
          <t xml:space="preserve">Q15-5.1.e</t>
        </is>
      </c>
      <c r="C25" s="93" t="s">
        <v>19</v>
      </c>
      <c r="D25" s="76" t="s">
        <v>107</v>
      </c>
      <c r="E25" s="5"/>
      <c r="F25" s="37"/>
      <c r="G25" s="37"/>
      <c r="H25" s="37"/>
      <c r="I25" s="37"/>
      <c r="J25" s="37"/>
      <c r="K25" s="24"/>
    </row>
    <row r="26" spans="1:11" ht="39" x14ac:dyDescent="0.35">
      <c r="A26" s="91">
        <v>23</v>
      </c>
      <c r="B26" s="92" t="inlineStr">
        <is>
          <t xml:space="preserve">Q16-5.1.f</t>
        </is>
      </c>
      <c r="C26" s="93" t="s">
        <v>19</v>
      </c>
      <c r="D26" s="76" t="s">
        <v>109</v>
      </c>
      <c r="E26" s="5"/>
      <c r="F26" s="37"/>
      <c r="G26" s="37"/>
      <c r="H26" s="37"/>
      <c r="I26" s="37"/>
      <c r="J26" s="37"/>
      <c r="K26" s="24"/>
    </row>
    <row r="27" spans="1:11" ht="26" x14ac:dyDescent="0.35">
      <c r="A27" s="96">
        <v>24</v>
      </c>
      <c r="B27" s="92" t="inlineStr">
        <is>
          <t xml:space="preserve">Q17-5.1.g</t>
        </is>
      </c>
      <c r="C27" s="93" t="s">
        <v>19</v>
      </c>
      <c r="D27" s="76" t="s">
        <v>111</v>
      </c>
      <c r="E27" s="5"/>
      <c r="F27" s="37"/>
      <c r="G27" s="37"/>
      <c r="H27" s="37"/>
      <c r="I27" s="37"/>
      <c r="J27" s="37"/>
      <c r="K27" s="24"/>
    </row>
    <row r="28" spans="1:11" ht="52" x14ac:dyDescent="0.35">
      <c r="A28" s="91">
        <v>25</v>
      </c>
      <c r="B28" s="92" t="inlineStr">
        <is>
          <t xml:space="preserve">Q18-5.1.h</t>
        </is>
      </c>
      <c r="C28" s="93" t="s">
        <v>19</v>
      </c>
      <c r="D28" s="76" t="s">
        <v>113</v>
      </c>
      <c r="E28" s="5"/>
      <c r="F28" s="37"/>
      <c r="G28" s="37"/>
      <c r="H28" s="37"/>
      <c r="I28" s="37"/>
      <c r="J28" s="37"/>
      <c r="K28" s="24"/>
    </row>
    <row r="29" spans="1:11" x14ac:dyDescent="0.35">
      <c r="A29" s="89">
        <v>26</v>
      </c>
      <c r="B29" s="81">
        <v>5.2</v>
      </c>
      <c r="C29" s="82" t="s">
        <v>19</v>
      </c>
      <c r="D29" s="90" t="s">
        <v>114</v>
      </c>
      <c r="E29" s="117"/>
      <c r="F29" s="109"/>
      <c r="G29" s="109"/>
      <c r="H29" s="109"/>
      <c r="I29" s="109"/>
      <c r="J29" s="109"/>
      <c r="K29" s="110"/>
    </row>
    <row r="30" spans="1:11" ht="52" x14ac:dyDescent="0.35">
      <c r="A30" s="91">
        <v>27</v>
      </c>
      <c r="B30" s="92" t="inlineStr">
        <is>
          <t xml:space="preserve">Q19-5.2.a</t>
        </is>
      </c>
      <c r="C30" s="93" t="s">
        <v>19</v>
      </c>
      <c r="D30" s="76" t="s">
        <v>116</v>
      </c>
      <c r="E30" s="5"/>
      <c r="F30" s="37"/>
      <c r="G30" s="37"/>
      <c r="H30" s="37"/>
      <c r="I30" s="37"/>
      <c r="J30" s="37"/>
      <c r="K30" s="24"/>
    </row>
    <row r="31" spans="1:11" ht="39" x14ac:dyDescent="0.35">
      <c r="A31" s="96">
        <v>28</v>
      </c>
      <c r="B31" s="92" t="inlineStr">
        <is>
          <t xml:space="preserve">Q20-5.2.b</t>
        </is>
      </c>
      <c r="C31" s="93" t="s">
        <v>19</v>
      </c>
      <c r="D31" s="76" t="s">
        <v>118</v>
      </c>
      <c r="E31" s="5"/>
      <c r="F31" s="37"/>
      <c r="G31" s="37"/>
      <c r="H31" s="37"/>
      <c r="I31" s="37"/>
      <c r="J31" s="37"/>
      <c r="K31" s="24"/>
    </row>
    <row r="32" spans="1:11" ht="52" x14ac:dyDescent="0.35">
      <c r="A32" s="91">
        <v>29</v>
      </c>
      <c r="B32" s="92" t="inlineStr">
        <is>
          <t xml:space="preserve">Q21-5.2.c</t>
        </is>
      </c>
      <c r="C32" s="93" t="s">
        <v>19</v>
      </c>
      <c r="D32" s="76" t="s">
        <v>120</v>
      </c>
      <c r="E32" s="5"/>
      <c r="F32" s="37"/>
      <c r="G32" s="37"/>
      <c r="H32" s="37"/>
      <c r="I32" s="37"/>
      <c r="J32" s="37"/>
      <c r="K32" s="24"/>
    </row>
    <row r="33" spans="1:11" ht="39" x14ac:dyDescent="0.35">
      <c r="A33" s="96">
        <v>30</v>
      </c>
      <c r="B33" s="92" t="inlineStr">
        <is>
          <t xml:space="preserve">Q22-5.2.d</t>
        </is>
      </c>
      <c r="C33" s="93" t="s">
        <v>19</v>
      </c>
      <c r="D33" s="76" t="s">
        <v>122</v>
      </c>
      <c r="E33" s="5"/>
      <c r="F33" s="37"/>
      <c r="G33" s="37"/>
      <c r="H33" s="37"/>
      <c r="I33" s="37"/>
      <c r="J33" s="37"/>
      <c r="K33" s="24"/>
    </row>
    <row r="34" spans="1:11" ht="39" x14ac:dyDescent="0.35">
      <c r="A34" s="91">
        <v>31</v>
      </c>
      <c r="B34" s="92" t="inlineStr">
        <is>
          <t xml:space="preserve">Q23-5.2.e</t>
        </is>
      </c>
      <c r="C34" s="93" t="s">
        <v>19</v>
      </c>
      <c r="D34" s="76" t="s">
        <v>124</v>
      </c>
      <c r="E34" s="5"/>
      <c r="F34" s="37"/>
      <c r="G34" s="37"/>
      <c r="H34" s="37"/>
      <c r="I34" s="37"/>
      <c r="J34" s="37"/>
      <c r="K34" s="24"/>
    </row>
    <row r="35" spans="1:11" ht="39" x14ac:dyDescent="0.35">
      <c r="A35" s="96">
        <v>32</v>
      </c>
      <c r="B35" s="92" t="inlineStr">
        <is>
          <t xml:space="preserve">Q24-5.2.f</t>
        </is>
      </c>
      <c r="C35" s="93" t="s">
        <v>19</v>
      </c>
      <c r="D35" s="76" t="s">
        <v>126</v>
      </c>
      <c r="E35" s="5"/>
      <c r="F35" s="37"/>
      <c r="G35" s="37"/>
      <c r="H35" s="37"/>
      <c r="I35" s="37"/>
      <c r="J35" s="37"/>
      <c r="K35" s="24"/>
    </row>
    <row r="36" spans="1:11" ht="39" x14ac:dyDescent="0.35">
      <c r="A36" s="91">
        <v>33</v>
      </c>
      <c r="B36" s="92" t="inlineStr">
        <is>
          <t xml:space="preserve">Q25-5.2.g</t>
        </is>
      </c>
      <c r="C36" s="93" t="s">
        <v>19</v>
      </c>
      <c r="D36" s="76" t="s">
        <v>128</v>
      </c>
      <c r="E36" s="5"/>
      <c r="F36" s="37"/>
      <c r="G36" s="37"/>
      <c r="H36" s="37"/>
      <c r="I36" s="37"/>
      <c r="J36" s="37"/>
      <c r="K36" s="24"/>
    </row>
    <row r="37" spans="1:11" ht="26" x14ac:dyDescent="0.35">
      <c r="A37" s="89">
        <v>34</v>
      </c>
      <c r="B37" s="81">
        <v>5.3</v>
      </c>
      <c r="C37" s="82" t="s">
        <v>19</v>
      </c>
      <c r="D37" s="90" t="s">
        <v>50</v>
      </c>
      <c r="E37" s="117"/>
      <c r="F37" s="109"/>
      <c r="G37" s="109"/>
      <c r="H37" s="109"/>
      <c r="I37" s="109"/>
      <c r="J37" s="109"/>
      <c r="K37" s="110"/>
    </row>
    <row r="38" spans="1:11" ht="52" x14ac:dyDescent="0.35">
      <c r="A38" s="91">
        <v>35</v>
      </c>
      <c r="B38" s="92" t="inlineStr">
        <is>
          <t xml:space="preserve">Q26-5.3</t>
        </is>
      </c>
      <c r="C38" s="93" t="s">
        <v>19</v>
      </c>
      <c r="D38" s="76" t="s">
        <v>130</v>
      </c>
      <c r="E38" s="5"/>
      <c r="F38" s="37"/>
      <c r="G38" s="37"/>
      <c r="H38" s="37"/>
      <c r="I38" s="37"/>
      <c r="J38" s="37"/>
      <c r="K38" s="24"/>
    </row>
    <row r="39" spans="1:11" ht="39" x14ac:dyDescent="0.35">
      <c r="A39" s="96">
        <v>36</v>
      </c>
      <c r="B39" s="92" t="inlineStr">
        <is>
          <t xml:space="preserve">Q27-5.3.a</t>
        </is>
      </c>
      <c r="C39" s="93" t="s">
        <v>19</v>
      </c>
      <c r="D39" s="76" t="s">
        <v>132</v>
      </c>
      <c r="E39" s="5"/>
      <c r="F39" s="37"/>
      <c r="G39" s="37"/>
      <c r="H39" s="37"/>
      <c r="I39" s="37"/>
      <c r="J39" s="37"/>
      <c r="K39" s="24"/>
    </row>
    <row r="40" spans="1:11" ht="39" x14ac:dyDescent="0.35">
      <c r="A40" s="91">
        <v>37</v>
      </c>
      <c r="B40" s="92" t="inlineStr">
        <is>
          <t xml:space="preserve">Q28-5.3.b</t>
        </is>
      </c>
      <c r="C40" s="93" t="s">
        <v>19</v>
      </c>
      <c r="D40" s="76" t="s">
        <v>134</v>
      </c>
      <c r="E40" s="5"/>
      <c r="F40" s="37"/>
      <c r="G40" s="37"/>
      <c r="H40" s="37"/>
      <c r="I40" s="37"/>
      <c r="J40" s="37"/>
      <c r="K40" s="24"/>
    </row>
    <row r="41" spans="1:11" x14ac:dyDescent="0.35">
      <c r="A41" s="97">
        <v>38</v>
      </c>
      <c r="B41" s="83">
        <v>6</v>
      </c>
      <c r="C41" s="84" t="s">
        <v>20</v>
      </c>
      <c r="D41" s="98" t="s">
        <v>42</v>
      </c>
      <c r="E41" s="119"/>
      <c r="F41" s="107"/>
      <c r="G41" s="107"/>
      <c r="H41" s="107"/>
      <c r="I41" s="107"/>
      <c r="J41" s="107"/>
      <c r="K41" s="108"/>
    </row>
    <row r="42" spans="1:11" x14ac:dyDescent="0.35">
      <c r="A42" s="99">
        <v>39</v>
      </c>
      <c r="B42" s="81">
        <v>6.1</v>
      </c>
      <c r="C42" s="82" t="s">
        <v>20</v>
      </c>
      <c r="D42" s="90" t="s">
        <v>51</v>
      </c>
      <c r="E42" s="117"/>
      <c r="F42" s="109"/>
      <c r="G42" s="109"/>
      <c r="H42" s="109"/>
      <c r="I42" s="109"/>
      <c r="J42" s="109"/>
      <c r="K42" s="110"/>
    </row>
    <row r="43" spans="1:11" ht="52" x14ac:dyDescent="0.35">
      <c r="A43" s="96">
        <v>40</v>
      </c>
      <c r="B43" s="92" t="inlineStr">
        <is>
          <t xml:space="preserve">Q29-6.1.1.a</t>
        </is>
      </c>
      <c r="C43" s="93" t="s">
        <v>20</v>
      </c>
      <c r="D43" s="100" t="s">
        <v>136</v>
      </c>
      <c r="E43" s="5"/>
      <c r="F43" s="37"/>
      <c r="G43" s="37"/>
      <c r="H43" s="37"/>
      <c r="I43" s="37"/>
      <c r="J43" s="37"/>
      <c r="K43" s="24"/>
    </row>
    <row r="44" spans="1:11" ht="39" x14ac:dyDescent="0.35">
      <c r="A44" s="91">
        <v>41</v>
      </c>
      <c r="B44" s="92" t="inlineStr">
        <is>
          <t xml:space="preserve">Q30-6.1.1.b</t>
        </is>
      </c>
      <c r="C44" s="93" t="s">
        <v>20</v>
      </c>
      <c r="D44" s="76" t="s">
        <v>138</v>
      </c>
      <c r="E44" s="5"/>
      <c r="F44" s="37"/>
      <c r="G44" s="37"/>
      <c r="H44" s="37"/>
      <c r="I44" s="37"/>
      <c r="J44" s="37"/>
      <c r="K44" s="24"/>
    </row>
    <row r="45" spans="1:11" ht="39" x14ac:dyDescent="0.35">
      <c r="A45" s="96">
        <v>42</v>
      </c>
      <c r="B45" s="92" t="inlineStr">
        <is>
          <t xml:space="preserve">Q31-6.1.1.c</t>
        </is>
      </c>
      <c r="C45" s="93" t="s">
        <v>20</v>
      </c>
      <c r="D45" s="76" t="s">
        <v>140</v>
      </c>
      <c r="E45" s="5"/>
      <c r="F45" s="37"/>
      <c r="G45" s="37"/>
      <c r="H45" s="37"/>
      <c r="I45" s="37"/>
      <c r="J45" s="37"/>
      <c r="K45" s="24"/>
    </row>
    <row r="46" spans="1:11" ht="39" x14ac:dyDescent="0.35">
      <c r="A46" s="91">
        <v>43</v>
      </c>
      <c r="B46" s="92" t="inlineStr">
        <is>
          <t xml:space="preserve">Q32-6.1.1.d</t>
        </is>
      </c>
      <c r="C46" s="93" t="s">
        <v>20</v>
      </c>
      <c r="D46" s="76" t="s">
        <v>142</v>
      </c>
      <c r="E46" s="5"/>
      <c r="F46" s="37"/>
      <c r="G46" s="37"/>
      <c r="H46" s="37"/>
      <c r="I46" s="37"/>
      <c r="J46" s="37"/>
      <c r="K46" s="24"/>
    </row>
    <row r="47" spans="1:11" ht="39" x14ac:dyDescent="0.35">
      <c r="A47" s="96">
        <v>44</v>
      </c>
      <c r="B47" s="92" t="inlineStr">
        <is>
          <t xml:space="preserve">Q33-6.1.1.e1</t>
        </is>
      </c>
      <c r="C47" s="93" t="s">
        <v>20</v>
      </c>
      <c r="D47" s="76" t="s">
        <v>144</v>
      </c>
      <c r="E47" s="5"/>
      <c r="F47" s="37"/>
      <c r="G47" s="37"/>
      <c r="H47" s="37"/>
      <c r="I47" s="37"/>
      <c r="J47" s="37"/>
      <c r="K47" s="24"/>
    </row>
    <row r="48" spans="1:11" ht="39" x14ac:dyDescent="0.35">
      <c r="A48" s="91">
        <v>45</v>
      </c>
      <c r="B48" s="92" t="inlineStr">
        <is>
          <t xml:space="preserve">Q34-6.1.1.e2</t>
        </is>
      </c>
      <c r="C48" s="93" t="s">
        <v>20</v>
      </c>
      <c r="D48" s="76" t="s">
        <v>146</v>
      </c>
      <c r="E48" s="5"/>
      <c r="F48" s="37"/>
      <c r="G48" s="37"/>
      <c r="H48" s="37"/>
      <c r="I48" s="37"/>
      <c r="J48" s="37"/>
      <c r="K48" s="24"/>
    </row>
    <row r="49" spans="1:11" ht="65" x14ac:dyDescent="0.35">
      <c r="A49" s="96">
        <v>46</v>
      </c>
      <c r="B49" s="92" t="inlineStr">
        <is>
          <t xml:space="preserve">Q35-6.1.2.a</t>
        </is>
      </c>
      <c r="C49" s="93" t="s">
        <v>20</v>
      </c>
      <c r="D49" s="76" t="s">
        <v>148</v>
      </c>
      <c r="E49" s="5"/>
      <c r="F49" s="37"/>
      <c r="G49" s="37"/>
      <c r="H49" s="37"/>
      <c r="I49" s="37"/>
      <c r="J49" s="37"/>
      <c r="K49" s="24"/>
    </row>
    <row r="50" spans="1:11" ht="52" x14ac:dyDescent="0.35">
      <c r="A50" s="91">
        <v>47</v>
      </c>
      <c r="B50" s="92" t="inlineStr">
        <is>
          <t xml:space="preserve">Q36-6.1.2.b</t>
        </is>
      </c>
      <c r="C50" s="93" t="s">
        <v>20</v>
      </c>
      <c r="D50" s="76" t="s">
        <v>150</v>
      </c>
      <c r="E50" s="5"/>
      <c r="F50" s="37"/>
      <c r="G50" s="37"/>
      <c r="H50" s="37"/>
      <c r="I50" s="37"/>
      <c r="J50" s="37"/>
      <c r="K50" s="24"/>
    </row>
    <row r="51" spans="1:11" ht="78" x14ac:dyDescent="0.35">
      <c r="A51" s="96">
        <v>48</v>
      </c>
      <c r="B51" s="92" t="inlineStr">
        <is>
          <t xml:space="preserve">Q37-6.1.2.c</t>
        </is>
      </c>
      <c r="C51" s="93" t="s">
        <v>20</v>
      </c>
      <c r="D51" s="100" t="s">
        <v>152</v>
      </c>
      <c r="E51" s="5"/>
      <c r="F51" s="37"/>
      <c r="G51" s="37"/>
      <c r="H51" s="37"/>
      <c r="I51" s="37"/>
      <c r="J51" s="37"/>
      <c r="K51" s="24"/>
    </row>
    <row r="52" spans="1:11" ht="65" x14ac:dyDescent="0.35">
      <c r="A52" s="91">
        <v>49</v>
      </c>
      <c r="B52" s="92" t="inlineStr">
        <is>
          <t xml:space="preserve">Q38-6.1.2.d</t>
        </is>
      </c>
      <c r="C52" s="93" t="s">
        <v>20</v>
      </c>
      <c r="D52" s="76" t="s">
        <v>154</v>
      </c>
      <c r="E52" s="5"/>
      <c r="F52" s="37"/>
      <c r="G52" s="37"/>
      <c r="H52" s="37"/>
      <c r="I52" s="37"/>
      <c r="J52" s="37"/>
      <c r="K52" s="24"/>
    </row>
    <row r="53" spans="1:11" ht="52" x14ac:dyDescent="0.35">
      <c r="A53" s="96">
        <v>50</v>
      </c>
      <c r="B53" s="92" t="inlineStr">
        <is>
          <t xml:space="preserve">Q39-6.1.2.e</t>
        </is>
      </c>
      <c r="C53" s="93" t="s">
        <v>20</v>
      </c>
      <c r="D53" s="76" t="s">
        <v>156</v>
      </c>
      <c r="E53" s="5"/>
      <c r="F53" s="37"/>
      <c r="G53" s="37"/>
      <c r="H53" s="37"/>
      <c r="I53" s="37"/>
      <c r="J53" s="37"/>
      <c r="K53" s="24"/>
    </row>
    <row r="54" spans="1:11" ht="39" x14ac:dyDescent="0.35">
      <c r="A54" s="91">
        <v>51</v>
      </c>
      <c r="B54" s="92" t="inlineStr">
        <is>
          <t xml:space="preserve">Q40-6.1.2</t>
        </is>
      </c>
      <c r="C54" s="93" t="s">
        <v>20</v>
      </c>
      <c r="D54" s="76" t="s">
        <v>158</v>
      </c>
      <c r="E54" s="5"/>
      <c r="F54" s="37"/>
      <c r="G54" s="37"/>
      <c r="H54" s="37"/>
      <c r="I54" s="37"/>
      <c r="J54" s="37"/>
      <c r="K54" s="24"/>
    </row>
    <row r="55" spans="1:11" ht="65" x14ac:dyDescent="0.35">
      <c r="A55" s="96">
        <v>52</v>
      </c>
      <c r="B55" s="92" t="inlineStr">
        <is>
          <t xml:space="preserve">Q41-6.1.3.a</t>
        </is>
      </c>
      <c r="C55" s="93" t="s">
        <v>20</v>
      </c>
      <c r="D55" s="76" t="s">
        <v>160</v>
      </c>
      <c r="E55" s="5"/>
      <c r="F55" s="37"/>
      <c r="G55" s="37"/>
      <c r="H55" s="37"/>
      <c r="I55" s="37"/>
      <c r="J55" s="37"/>
      <c r="K55" s="24"/>
    </row>
    <row r="56" spans="1:11" ht="39" x14ac:dyDescent="0.35">
      <c r="A56" s="91">
        <v>53</v>
      </c>
      <c r="B56" s="92" t="inlineStr">
        <is>
          <t xml:space="preserve">Q42-6.1.3.b</t>
        </is>
      </c>
      <c r="C56" s="93" t="s">
        <v>20</v>
      </c>
      <c r="D56" s="76" t="s">
        <v>162</v>
      </c>
      <c r="E56" s="5"/>
      <c r="F56" s="37"/>
      <c r="G56" s="37"/>
      <c r="H56" s="37"/>
      <c r="I56" s="37"/>
      <c r="J56" s="37"/>
      <c r="K56" s="24"/>
    </row>
    <row r="57" spans="1:11" ht="52" x14ac:dyDescent="0.35">
      <c r="A57" s="96">
        <v>54</v>
      </c>
      <c r="B57" s="92" t="inlineStr">
        <is>
          <t xml:space="preserve">Q43-6.1.3.c</t>
        </is>
      </c>
      <c r="C57" s="93" t="s">
        <v>20</v>
      </c>
      <c r="D57" s="76" t="s">
        <v>164</v>
      </c>
      <c r="E57" s="5"/>
      <c r="F57" s="37"/>
      <c r="G57" s="37"/>
      <c r="H57" s="37"/>
      <c r="I57" s="37"/>
      <c r="J57" s="37"/>
      <c r="K57" s="24"/>
    </row>
    <row r="58" spans="1:11" ht="78" x14ac:dyDescent="0.35">
      <c r="A58" s="91">
        <v>55</v>
      </c>
      <c r="B58" s="92" t="inlineStr">
        <is>
          <t xml:space="preserve">Q44-6.1.3.d</t>
        </is>
      </c>
      <c r="C58" s="93" t="s">
        <v>20</v>
      </c>
      <c r="D58" s="76" t="s">
        <v>166</v>
      </c>
      <c r="E58" s="5"/>
      <c r="F58" s="37"/>
      <c r="G58" s="37"/>
      <c r="H58" s="37"/>
      <c r="I58" s="37"/>
      <c r="J58" s="37"/>
      <c r="K58" s="24"/>
    </row>
    <row r="59" spans="1:11" ht="52" x14ac:dyDescent="0.35">
      <c r="A59" s="96">
        <v>56</v>
      </c>
      <c r="B59" s="92" t="inlineStr">
        <is>
          <t xml:space="preserve">Q45-6.1.3.e</t>
        </is>
      </c>
      <c r="C59" s="93" t="s">
        <v>20</v>
      </c>
      <c r="D59" s="76" t="s">
        <v>168</v>
      </c>
      <c r="E59" s="5"/>
      <c r="F59" s="37"/>
      <c r="G59" s="37"/>
      <c r="H59" s="37"/>
      <c r="I59" s="37"/>
      <c r="J59" s="37"/>
      <c r="K59" s="24"/>
    </row>
    <row r="60" spans="1:11" ht="52" x14ac:dyDescent="0.35">
      <c r="A60" s="91">
        <v>57</v>
      </c>
      <c r="B60" s="92" t="inlineStr">
        <is>
          <t xml:space="preserve">Q46-6.1.3.f</t>
        </is>
      </c>
      <c r="C60" s="93" t="s">
        <v>20</v>
      </c>
      <c r="D60" s="76" t="s">
        <v>170</v>
      </c>
      <c r="E60" s="5"/>
      <c r="F60" s="37"/>
      <c r="G60" s="37"/>
      <c r="H60" s="37"/>
      <c r="I60" s="37"/>
      <c r="J60" s="37"/>
      <c r="K60" s="24"/>
    </row>
    <row r="61" spans="1:11" ht="52" x14ac:dyDescent="0.35">
      <c r="A61" s="96">
        <v>58</v>
      </c>
      <c r="B61" s="92" t="inlineStr">
        <is>
          <t xml:space="preserve">Q47-6.1.3</t>
        </is>
      </c>
      <c r="C61" s="93" t="s">
        <v>20</v>
      </c>
      <c r="D61" s="76" t="s">
        <v>172</v>
      </c>
      <c r="E61" s="5"/>
      <c r="F61" s="37"/>
      <c r="G61" s="37"/>
      <c r="H61" s="37"/>
      <c r="I61" s="37"/>
      <c r="J61" s="37"/>
      <c r="K61" s="24"/>
    </row>
    <row r="62" spans="1:11" ht="26" x14ac:dyDescent="0.35">
      <c r="A62" s="99">
        <v>59</v>
      </c>
      <c r="B62" s="81">
        <v>6.2</v>
      </c>
      <c r="C62" s="82" t="s">
        <v>20</v>
      </c>
      <c r="D62" s="90" t="s">
        <v>173</v>
      </c>
      <c r="E62" s="117"/>
      <c r="F62" s="109"/>
      <c r="G62" s="109"/>
      <c r="H62" s="109"/>
      <c r="I62" s="109"/>
      <c r="J62" s="109"/>
      <c r="K62" s="110"/>
    </row>
    <row r="63" spans="1:11" ht="52" x14ac:dyDescent="0.35">
      <c r="A63" s="96">
        <v>60</v>
      </c>
      <c r="B63" s="92" t="inlineStr">
        <is>
          <t xml:space="preserve">Q48-6.2.a</t>
        </is>
      </c>
      <c r="C63" s="93" t="s">
        <v>20</v>
      </c>
      <c r="D63" s="76" t="s">
        <v>175</v>
      </c>
      <c r="E63" s="5"/>
      <c r="F63" s="37"/>
      <c r="G63" s="37"/>
      <c r="H63" s="37"/>
      <c r="I63" s="37"/>
      <c r="J63" s="37"/>
      <c r="K63" s="24"/>
    </row>
    <row r="64" spans="1:11" ht="39" x14ac:dyDescent="0.35">
      <c r="A64" s="91">
        <v>61</v>
      </c>
      <c r="B64" s="92" t="inlineStr">
        <is>
          <t xml:space="preserve">Q49-6.2.b</t>
        </is>
      </c>
      <c r="C64" s="93" t="s">
        <v>20</v>
      </c>
      <c r="D64" s="76" t="s">
        <v>177</v>
      </c>
      <c r="E64" s="5"/>
      <c r="F64" s="37"/>
      <c r="G64" s="37"/>
      <c r="H64" s="37"/>
      <c r="I64" s="37"/>
      <c r="J64" s="37"/>
      <c r="K64" s="24"/>
    </row>
    <row r="65" spans="1:11" ht="52" x14ac:dyDescent="0.35">
      <c r="A65" s="96">
        <v>62</v>
      </c>
      <c r="B65" s="92" t="inlineStr">
        <is>
          <t xml:space="preserve">Q50-6.2.c</t>
        </is>
      </c>
      <c r="C65" s="93" t="s">
        <v>20</v>
      </c>
      <c r="D65" s="100" t="s">
        <v>179</v>
      </c>
      <c r="E65" s="5"/>
      <c r="F65" s="37"/>
      <c r="G65" s="37"/>
      <c r="H65" s="37"/>
      <c r="I65" s="37"/>
      <c r="J65" s="37"/>
      <c r="K65" s="24"/>
    </row>
    <row r="66" spans="1:11" ht="39" x14ac:dyDescent="0.35">
      <c r="A66" s="91">
        <v>63</v>
      </c>
      <c r="B66" s="92" t="inlineStr">
        <is>
          <t xml:space="preserve">Q51-6.2.d</t>
        </is>
      </c>
      <c r="C66" s="93" t="s">
        <v>20</v>
      </c>
      <c r="D66" s="100" t="s">
        <v>181</v>
      </c>
      <c r="E66" s="5"/>
      <c r="F66" s="37"/>
      <c r="G66" s="37"/>
      <c r="H66" s="37"/>
      <c r="I66" s="37"/>
      <c r="J66" s="37"/>
      <c r="K66" s="24"/>
    </row>
    <row r="67" spans="1:11" ht="39" x14ac:dyDescent="0.35">
      <c r="A67" s="96">
        <v>64</v>
      </c>
      <c r="B67" s="92" t="inlineStr">
        <is>
          <t xml:space="preserve">Q52-6.2.e</t>
        </is>
      </c>
      <c r="C67" s="93" t="s">
        <v>20</v>
      </c>
      <c r="D67" s="100" t="s">
        <v>183</v>
      </c>
      <c r="E67" s="5"/>
      <c r="F67" s="37"/>
      <c r="G67" s="37"/>
      <c r="H67" s="37"/>
      <c r="I67" s="37"/>
      <c r="J67" s="37"/>
      <c r="K67" s="24"/>
    </row>
    <row r="68" spans="1:11" ht="65" x14ac:dyDescent="0.35">
      <c r="A68" s="91">
        <v>65</v>
      </c>
      <c r="B68" s="92" t="inlineStr">
        <is>
          <t xml:space="preserve">Q53-6.2.f</t>
        </is>
      </c>
      <c r="C68" s="93" t="s">
        <v>20</v>
      </c>
      <c r="D68" s="100" t="s">
        <v>185</v>
      </c>
      <c r="E68" s="5"/>
      <c r="F68" s="37"/>
      <c r="G68" s="37"/>
      <c r="H68" s="37"/>
      <c r="I68" s="37"/>
      <c r="J68" s="37"/>
      <c r="K68" s="24"/>
    </row>
    <row r="69" spans="1:11" ht="78" x14ac:dyDescent="0.35">
      <c r="A69" s="96">
        <v>66</v>
      </c>
      <c r="B69" s="92" t="inlineStr">
        <is>
          <t xml:space="preserve">Q54-6.2</t>
        </is>
      </c>
      <c r="C69" s="93" t="s">
        <v>20</v>
      </c>
      <c r="D69" s="100" t="s">
        <v>187</v>
      </c>
      <c r="E69" s="5"/>
      <c r="F69" s="37"/>
      <c r="G69" s="37"/>
      <c r="H69" s="37"/>
      <c r="I69" s="37"/>
      <c r="J69" s="37"/>
      <c r="K69" s="24"/>
    </row>
    <row r="70" spans="1:11" ht="26" x14ac:dyDescent="0.35">
      <c r="A70" s="99">
        <v>67</v>
      </c>
      <c r="B70" s="81">
        <v>6.3</v>
      </c>
      <c r="C70" s="82" t="inlineStr">
        <is>
          <t xml:space="preserve">6. Planning</t>
        </is>
      </c>
      <c r="D70" s="90" t="inlineStr">
        <is>
          <t xml:space="preserve">Planning of changes</t>
        </is>
      </c>
      <c r="E70" s="117"/>
      <c r="F70" s="109"/>
      <c r="G70" s="109"/>
      <c r="H70" s="109"/>
      <c r="I70" s="109"/>
      <c r="J70" s="109"/>
      <c r="K70" s="110"/>
    </row>
    <row r="71" spans="1:11" ht="39" x14ac:dyDescent="0.35">
      <c r="A71" s="91">
        <v>68</v>
      </c>
      <c r="B71" s="92" t="inlineStr">
        <is>
          <t xml:space="preserve">Q55-6.3</t>
        </is>
      </c>
      <c r="C71" s="93" t="s">
        <v>20</v>
      </c>
      <c r="D71" s="76" t="s">
        <v>189</v>
      </c>
      <c r="E71" s="5"/>
      <c r="F71" s="37"/>
      <c r="G71" s="37"/>
      <c r="H71" s="37"/>
      <c r="I71" s="37"/>
      <c r="J71" s="37"/>
      <c r="K71" s="24"/>
    </row>
    <row r="72" spans="1:11" x14ac:dyDescent="0.35">
      <c r="A72" s="97">
        <v>69</v>
      </c>
      <c r="B72" s="83">
        <v>7</v>
      </c>
      <c r="C72" s="84" t="s">
        <v>21</v>
      </c>
      <c r="D72" s="98" t="s">
        <v>43</v>
      </c>
      <c r="E72" s="119"/>
      <c r="F72" s="107"/>
      <c r="G72" s="107"/>
      <c r="H72" s="107"/>
      <c r="I72" s="107"/>
      <c r="J72" s="107"/>
      <c r="K72" s="108"/>
    </row>
    <row r="73" spans="1:11" x14ac:dyDescent="0.35">
      <c r="A73" s="99">
        <v>70</v>
      </c>
      <c r="B73" s="81">
        <v>7.1</v>
      </c>
      <c r="C73" s="82" t="s">
        <v>21</v>
      </c>
      <c r="D73" s="90" t="s">
        <v>44</v>
      </c>
      <c r="E73" s="117"/>
      <c r="F73" s="109"/>
      <c r="G73" s="109"/>
      <c r="H73" s="109"/>
      <c r="I73" s="109"/>
      <c r="J73" s="109"/>
      <c r="K73" s="110"/>
    </row>
    <row r="74" spans="1:11" ht="52" x14ac:dyDescent="0.35">
      <c r="A74" s="96">
        <v>71</v>
      </c>
      <c r="B74" s="92" t="inlineStr">
        <is>
          <t xml:space="preserve">Q56-7.1</t>
        </is>
      </c>
      <c r="C74" s="93" t="s">
        <v>21</v>
      </c>
      <c r="D74" s="100" t="s">
        <v>191</v>
      </c>
      <c r="E74" s="5"/>
      <c r="F74" s="37"/>
      <c r="G74" s="37"/>
      <c r="H74" s="37"/>
      <c r="I74" s="37"/>
      <c r="J74" s="37"/>
      <c r="K74" s="24"/>
    </row>
    <row r="75" spans="1:11" x14ac:dyDescent="0.35">
      <c r="A75" s="99">
        <v>72</v>
      </c>
      <c r="B75" s="81">
        <v>7.2</v>
      </c>
      <c r="C75" s="82" t="s">
        <v>21</v>
      </c>
      <c r="D75" s="90" t="s">
        <v>45</v>
      </c>
      <c r="E75" s="117"/>
      <c r="F75" s="109"/>
      <c r="G75" s="109"/>
      <c r="H75" s="109"/>
      <c r="I75" s="109"/>
      <c r="J75" s="109"/>
      <c r="K75" s="110"/>
    </row>
    <row r="76" spans="1:11" ht="52" x14ac:dyDescent="0.35">
      <c r="A76" s="96">
        <v>73</v>
      </c>
      <c r="B76" s="92" t="inlineStr">
        <is>
          <t xml:space="preserve">Q57-7.2.a</t>
        </is>
      </c>
      <c r="C76" s="93" t="s">
        <v>21</v>
      </c>
      <c r="D76" s="100" t="s">
        <v>193</v>
      </c>
      <c r="E76" s="5"/>
      <c r="F76" s="37"/>
      <c r="G76" s="37"/>
      <c r="H76" s="37"/>
      <c r="I76" s="37"/>
      <c r="J76" s="37"/>
      <c r="K76" s="24"/>
    </row>
    <row r="77" spans="1:11" ht="65" x14ac:dyDescent="0.35">
      <c r="A77" s="91">
        <v>74</v>
      </c>
      <c r="B77" s="92" t="inlineStr">
        <is>
          <t xml:space="preserve">Q58-7.2.b</t>
        </is>
      </c>
      <c r="C77" s="93" t="s">
        <v>21</v>
      </c>
      <c r="D77" s="76" t="s">
        <v>195</v>
      </c>
      <c r="E77" s="5"/>
      <c r="F77" s="37"/>
      <c r="G77" s="37"/>
      <c r="H77" s="37"/>
      <c r="I77" s="37"/>
      <c r="J77" s="37"/>
      <c r="K77" s="24"/>
    </row>
    <row r="78" spans="1:11" ht="65" x14ac:dyDescent="0.35">
      <c r="A78" s="96">
        <v>75</v>
      </c>
      <c r="B78" s="92" t="inlineStr">
        <is>
          <t xml:space="preserve">Q59-7.2.c</t>
        </is>
      </c>
      <c r="C78" s="93" t="s">
        <v>21</v>
      </c>
      <c r="D78" s="76" t="s">
        <v>197</v>
      </c>
      <c r="E78" s="5"/>
      <c r="F78" s="37"/>
      <c r="G78" s="37"/>
      <c r="H78" s="37"/>
      <c r="I78" s="37"/>
      <c r="J78" s="37"/>
      <c r="K78" s="24"/>
    </row>
    <row r="79" spans="1:11" x14ac:dyDescent="0.35">
      <c r="A79" s="99">
        <v>76</v>
      </c>
      <c r="B79" s="81">
        <v>7.3</v>
      </c>
      <c r="C79" s="82" t="s">
        <v>21</v>
      </c>
      <c r="D79" s="90" t="s">
        <v>46</v>
      </c>
      <c r="E79" s="117"/>
      <c r="F79" s="109"/>
      <c r="G79" s="109"/>
      <c r="H79" s="109"/>
      <c r="I79" s="109"/>
      <c r="J79" s="109"/>
      <c r="K79" s="110"/>
    </row>
    <row r="80" spans="1:11" ht="26" x14ac:dyDescent="0.35">
      <c r="A80" s="96">
        <v>77</v>
      </c>
      <c r="B80" s="92" t="inlineStr">
        <is>
          <t xml:space="preserve">Q60-7.3.a</t>
        </is>
      </c>
      <c r="C80" s="93" t="s">
        <v>21</v>
      </c>
      <c r="D80" s="76" t="s">
        <v>199</v>
      </c>
      <c r="E80" s="5"/>
      <c r="F80" s="37"/>
      <c r="G80" s="37"/>
      <c r="H80" s="37"/>
      <c r="I80" s="37"/>
      <c r="J80" s="37"/>
      <c r="K80" s="24"/>
    </row>
    <row r="81" spans="1:11" ht="52" x14ac:dyDescent="0.35">
      <c r="A81" s="91">
        <v>78</v>
      </c>
      <c r="B81" s="92" t="inlineStr">
        <is>
          <t xml:space="preserve">Q61-7.3.b</t>
        </is>
      </c>
      <c r="C81" s="93" t="s">
        <v>21</v>
      </c>
      <c r="D81" s="76" t="s">
        <v>201</v>
      </c>
      <c r="E81" s="5"/>
      <c r="F81" s="37"/>
      <c r="G81" s="37"/>
      <c r="H81" s="37"/>
      <c r="I81" s="37"/>
      <c r="J81" s="37"/>
      <c r="K81" s="24"/>
    </row>
    <row r="82" spans="1:11" ht="52" x14ac:dyDescent="0.35">
      <c r="A82" s="96">
        <v>79</v>
      </c>
      <c r="B82" s="92" t="inlineStr">
        <is>
          <t xml:space="preserve">Q62-7.3.c</t>
        </is>
      </c>
      <c r="C82" s="93" t="s">
        <v>21</v>
      </c>
      <c r="D82" s="76" t="s">
        <v>203</v>
      </c>
      <c r="E82" s="5"/>
      <c r="F82" s="37"/>
      <c r="G82" s="37"/>
      <c r="H82" s="37"/>
      <c r="I82" s="37"/>
      <c r="J82" s="37"/>
      <c r="K82" s="24"/>
    </row>
    <row r="83" spans="1:11" x14ac:dyDescent="0.35">
      <c r="A83" s="99">
        <v>80</v>
      </c>
      <c r="B83" s="81">
        <v>7.4</v>
      </c>
      <c r="C83" s="82" t="s">
        <v>21</v>
      </c>
      <c r="D83" s="90" t="s">
        <v>52</v>
      </c>
      <c r="E83" s="117"/>
      <c r="F83" s="109"/>
      <c r="G83" s="109"/>
      <c r="H83" s="109"/>
      <c r="I83" s="109"/>
      <c r="J83" s="109"/>
      <c r="K83" s="110"/>
    </row>
    <row r="84" spans="1:11" ht="52" x14ac:dyDescent="0.35">
      <c r="A84" s="96">
        <v>81</v>
      </c>
      <c r="B84" s="92" t="inlineStr">
        <is>
          <t xml:space="preserve">Q63-7.4.a</t>
        </is>
      </c>
      <c r="C84" s="93" t="s">
        <v>21</v>
      </c>
      <c r="D84" s="76" t="s">
        <v>205</v>
      </c>
      <c r="E84" s="5"/>
      <c r="F84" s="37"/>
      <c r="G84" s="37"/>
      <c r="H84" s="37"/>
      <c r="I84" s="37"/>
      <c r="J84" s="37"/>
      <c r="K84" s="24"/>
    </row>
    <row r="85" spans="1:11" ht="39" x14ac:dyDescent="0.35">
      <c r="A85" s="91">
        <v>82</v>
      </c>
      <c r="B85" s="92" t="inlineStr">
        <is>
          <t xml:space="preserve">Q64-7.4.b</t>
        </is>
      </c>
      <c r="C85" s="93" t="s">
        <v>21</v>
      </c>
      <c r="D85" s="76" t="s">
        <v>207</v>
      </c>
      <c r="E85" s="5"/>
      <c r="F85" s="37"/>
      <c r="G85" s="37"/>
      <c r="H85" s="37"/>
      <c r="I85" s="37"/>
      <c r="J85" s="37"/>
      <c r="K85" s="24"/>
    </row>
    <row r="86" spans="1:11" ht="52" x14ac:dyDescent="0.35">
      <c r="A86" s="96">
        <v>83</v>
      </c>
      <c r="B86" s="92" t="inlineStr">
        <is>
          <t xml:space="preserve">Q65-7.4.c</t>
        </is>
      </c>
      <c r="C86" s="93" t="s">
        <v>21</v>
      </c>
      <c r="D86" s="76" t="s">
        <v>209</v>
      </c>
      <c r="E86" s="5"/>
      <c r="F86" s="37"/>
      <c r="G86" s="37"/>
      <c r="H86" s="37"/>
      <c r="I86" s="37"/>
      <c r="J86" s="37"/>
      <c r="K86" s="24"/>
    </row>
    <row r="87" spans="1:11" ht="52" x14ac:dyDescent="0.35">
      <c r="A87" s="91">
        <v>84</v>
      </c>
      <c r="B87" s="92" t="inlineStr">
        <is>
          <t xml:space="preserve">Q66-7.4.d</t>
        </is>
      </c>
      <c r="C87" s="93" t="s">
        <v>21</v>
      </c>
      <c r="D87" s="76" t="s">
        <v>211</v>
      </c>
      <c r="E87" s="5"/>
      <c r="F87" s="37"/>
      <c r="G87" s="37"/>
      <c r="H87" s="37"/>
      <c r="I87" s="37"/>
      <c r="J87" s="37"/>
      <c r="K87" s="24"/>
    </row>
    <row r="88" spans="1:11" x14ac:dyDescent="0.35">
      <c r="A88" s="89">
        <v>85</v>
      </c>
      <c r="B88" s="81">
        <v>7.5</v>
      </c>
      <c r="C88" s="82" t="s">
        <v>21</v>
      </c>
      <c r="D88" s="90" t="s">
        <v>212</v>
      </c>
      <c r="E88" s="117"/>
      <c r="F88" s="109"/>
      <c r="G88" s="109"/>
      <c r="H88" s="109"/>
      <c r="I88" s="109"/>
      <c r="J88" s="109"/>
      <c r="K88" s="110"/>
    </row>
    <row r="89" spans="1:11" ht="65" x14ac:dyDescent="0.35">
      <c r="A89" s="91">
        <v>86</v>
      </c>
      <c r="B89" s="92" t="inlineStr">
        <is>
          <t xml:space="preserve">Q67-7.5.1</t>
        </is>
      </c>
      <c r="C89" s="93" t="s">
        <v>21</v>
      </c>
      <c r="D89" s="100" t="s">
        <v>214</v>
      </c>
      <c r="E89" s="5"/>
      <c r="F89" s="37"/>
      <c r="G89" s="37"/>
      <c r="H89" s="37"/>
      <c r="I89" s="37"/>
      <c r="J89" s="37"/>
      <c r="K89" s="24"/>
    </row>
    <row r="90" spans="1:11" ht="65" x14ac:dyDescent="0.35">
      <c r="A90" s="96">
        <v>87</v>
      </c>
      <c r="B90" s="92" t="inlineStr">
        <is>
          <t xml:space="preserve">Q68-7.5.2.a</t>
        </is>
      </c>
      <c r="C90" s="93" t="s">
        <v>21</v>
      </c>
      <c r="D90" s="76" t="s">
        <v>216</v>
      </c>
      <c r="E90" s="5"/>
      <c r="F90" s="37"/>
      <c r="G90" s="37"/>
      <c r="H90" s="37"/>
      <c r="I90" s="37"/>
      <c r="J90" s="37"/>
      <c r="K90" s="24"/>
    </row>
    <row r="91" spans="1:11" ht="65" x14ac:dyDescent="0.35">
      <c r="A91" s="91">
        <v>88</v>
      </c>
      <c r="B91" s="92" t="inlineStr">
        <is>
          <t xml:space="preserve">Q69-7.5.2.b</t>
        </is>
      </c>
      <c r="C91" s="93" t="s">
        <v>21</v>
      </c>
      <c r="D91" s="76" t="s">
        <v>218</v>
      </c>
      <c r="E91" s="5"/>
      <c r="F91" s="37"/>
      <c r="G91" s="37"/>
      <c r="H91" s="37"/>
      <c r="I91" s="37"/>
      <c r="J91" s="37"/>
      <c r="K91" s="24"/>
    </row>
    <row r="92" spans="1:11" ht="52" x14ac:dyDescent="0.35">
      <c r="A92" s="96">
        <v>89</v>
      </c>
      <c r="B92" s="92" t="inlineStr">
        <is>
          <t xml:space="preserve">Q70-7.5.2.c</t>
        </is>
      </c>
      <c r="C92" s="93" t="s">
        <v>21</v>
      </c>
      <c r="D92" s="76" t="s">
        <v>220</v>
      </c>
      <c r="E92" s="5"/>
      <c r="F92" s="37"/>
      <c r="G92" s="37"/>
      <c r="H92" s="37"/>
      <c r="I92" s="37"/>
      <c r="J92" s="37"/>
      <c r="K92" s="24"/>
    </row>
    <row r="93" spans="1:11" ht="39" x14ac:dyDescent="0.35">
      <c r="A93" s="91">
        <v>90</v>
      </c>
      <c r="B93" s="92" t="inlineStr">
        <is>
          <t xml:space="preserve">Q71-7.5.3.a</t>
        </is>
      </c>
      <c r="C93" s="93" t="s">
        <v>21</v>
      </c>
      <c r="D93" s="100" t="s">
        <v>222</v>
      </c>
      <c r="E93" s="5"/>
      <c r="F93" s="37"/>
      <c r="G93" s="37"/>
      <c r="H93" s="37"/>
      <c r="I93" s="37"/>
      <c r="J93" s="37"/>
      <c r="K93" s="24"/>
    </row>
    <row r="94" spans="1:11" ht="52" x14ac:dyDescent="0.35">
      <c r="A94" s="96">
        <v>91</v>
      </c>
      <c r="B94" s="92" t="inlineStr">
        <is>
          <t xml:space="preserve">Q72-7.5.3.b</t>
        </is>
      </c>
      <c r="C94" s="93" t="s">
        <v>21</v>
      </c>
      <c r="D94" s="100" t="s">
        <v>224</v>
      </c>
      <c r="E94" s="5"/>
      <c r="F94" s="37"/>
      <c r="G94" s="37"/>
      <c r="H94" s="37"/>
      <c r="I94" s="37"/>
      <c r="J94" s="37"/>
      <c r="K94" s="24"/>
    </row>
    <row r="95" spans="1:11" ht="65" x14ac:dyDescent="0.35">
      <c r="A95" s="91">
        <v>92</v>
      </c>
      <c r="B95" s="92" t="inlineStr">
        <is>
          <t xml:space="preserve">Q73-7.5.3.c</t>
        </is>
      </c>
      <c r="C95" s="93" t="s">
        <v>21</v>
      </c>
      <c r="D95" s="100" t="s">
        <v>226</v>
      </c>
      <c r="E95" s="5"/>
      <c r="F95" s="37"/>
      <c r="G95" s="37"/>
      <c r="H95" s="37"/>
      <c r="I95" s="37"/>
      <c r="J95" s="37"/>
      <c r="K95" s="24"/>
    </row>
    <row r="96" spans="1:11" ht="52" x14ac:dyDescent="0.35">
      <c r="A96" s="96">
        <v>93</v>
      </c>
      <c r="B96" s="92" t="inlineStr">
        <is>
          <t xml:space="preserve">Q74-7.5.3.d</t>
        </is>
      </c>
      <c r="C96" s="93" t="s">
        <v>21</v>
      </c>
      <c r="D96" s="100" t="s">
        <v>228</v>
      </c>
      <c r="E96" s="5"/>
      <c r="F96" s="37"/>
      <c r="G96" s="37"/>
      <c r="H96" s="37"/>
      <c r="I96" s="37"/>
      <c r="J96" s="37"/>
      <c r="K96" s="24"/>
    </row>
    <row r="97" spans="1:11" ht="39" x14ac:dyDescent="0.35">
      <c r="A97" s="91">
        <v>94</v>
      </c>
      <c r="B97" s="92" t="inlineStr">
        <is>
          <t xml:space="preserve">Q75-7.5.3.e</t>
        </is>
      </c>
      <c r="C97" s="93" t="s">
        <v>21</v>
      </c>
      <c r="D97" s="100" t="s">
        <v>230</v>
      </c>
      <c r="E97" s="5"/>
      <c r="F97" s="37"/>
      <c r="G97" s="37"/>
      <c r="H97" s="37"/>
      <c r="I97" s="37"/>
      <c r="J97" s="37"/>
      <c r="K97" s="24"/>
    </row>
    <row r="98" spans="1:11" ht="52" x14ac:dyDescent="0.35">
      <c r="A98" s="96">
        <v>95</v>
      </c>
      <c r="B98" s="92" t="inlineStr">
        <is>
          <t xml:space="preserve">Q76-7.5.3.f</t>
        </is>
      </c>
      <c r="C98" s="93" t="s">
        <v>21</v>
      </c>
      <c r="D98" s="100" t="s">
        <v>232</v>
      </c>
      <c r="E98" s="5"/>
      <c r="F98" s="37"/>
      <c r="G98" s="37"/>
      <c r="H98" s="37"/>
      <c r="I98" s="37"/>
      <c r="J98" s="37"/>
      <c r="K98" s="24"/>
    </row>
    <row r="99" spans="1:11" ht="65" x14ac:dyDescent="0.35">
      <c r="A99" s="91">
        <v>96</v>
      </c>
      <c r="B99" s="92" t="inlineStr">
        <is>
          <t xml:space="preserve">Q77-7.5.3</t>
        </is>
      </c>
      <c r="C99" s="93" t="s">
        <v>21</v>
      </c>
      <c r="D99" s="76" t="s">
        <v>234</v>
      </c>
      <c r="E99" s="5"/>
      <c r="F99" s="37"/>
      <c r="G99" s="37"/>
      <c r="H99" s="37"/>
      <c r="I99" s="37"/>
      <c r="J99" s="37"/>
      <c r="K99" s="24"/>
    </row>
    <row r="100" spans="1:11" x14ac:dyDescent="0.35">
      <c r="A100" s="97">
        <v>97</v>
      </c>
      <c r="B100" s="83">
        <v>8</v>
      </c>
      <c r="C100" s="84" t="s">
        <v>22</v>
      </c>
      <c r="D100" s="98" t="s">
        <v>47</v>
      </c>
      <c r="E100" s="119"/>
      <c r="F100" s="107"/>
      <c r="G100" s="107"/>
      <c r="H100" s="107"/>
      <c r="I100" s="107"/>
      <c r="J100" s="107"/>
      <c r="K100" s="108"/>
    </row>
    <row r="101" spans="1:11" x14ac:dyDescent="0.35">
      <c r="A101" s="99">
        <v>98</v>
      </c>
      <c r="B101" s="81">
        <v>8.1</v>
      </c>
      <c r="C101" s="82" t="s">
        <v>22</v>
      </c>
      <c r="D101" s="90" t="s">
        <v>235</v>
      </c>
      <c r="E101" s="117"/>
      <c r="F101" s="109"/>
      <c r="G101" s="109"/>
      <c r="H101" s="109"/>
      <c r="I101" s="109"/>
      <c r="J101" s="109"/>
      <c r="K101" s="110"/>
    </row>
    <row r="102" spans="1:11" ht="78" x14ac:dyDescent="0.35">
      <c r="A102" s="96">
        <v>99</v>
      </c>
      <c r="B102" s="92" t="inlineStr">
        <is>
          <t xml:space="preserve">Q78-8.1.a</t>
        </is>
      </c>
      <c r="C102" s="93" t="s">
        <v>22</v>
      </c>
      <c r="D102" s="100" t="s">
        <v>237</v>
      </c>
      <c r="E102" s="5"/>
      <c r="F102" s="37"/>
      <c r="G102" s="37"/>
      <c r="H102" s="37"/>
      <c r="I102" s="37"/>
      <c r="J102" s="37"/>
      <c r="K102" s="24"/>
    </row>
    <row r="103" spans="1:11" ht="52" x14ac:dyDescent="0.35">
      <c r="A103" s="91">
        <v>100</v>
      </c>
      <c r="B103" s="92" t="inlineStr">
        <is>
          <t xml:space="preserve">Q79-8.1.b</t>
        </is>
      </c>
      <c r="C103" s="93" t="s">
        <v>22</v>
      </c>
      <c r="D103" s="100" t="s">
        <v>239</v>
      </c>
      <c r="E103" s="5"/>
      <c r="F103" s="37"/>
      <c r="G103" s="37"/>
      <c r="H103" s="37"/>
      <c r="I103" s="37"/>
      <c r="J103" s="37"/>
      <c r="K103" s="24"/>
    </row>
    <row r="104" spans="1:11" ht="39" x14ac:dyDescent="0.35">
      <c r="A104" s="96">
        <v>101</v>
      </c>
      <c r="B104" s="92" t="inlineStr">
        <is>
          <t xml:space="preserve">Q80-8.1.c</t>
        </is>
      </c>
      <c r="C104" s="93" t="s">
        <v>22</v>
      </c>
      <c r="D104" s="76" t="s">
        <v>241</v>
      </c>
      <c r="E104" s="5"/>
      <c r="F104" s="37"/>
      <c r="G104" s="37"/>
      <c r="H104" s="37"/>
      <c r="I104" s="37"/>
      <c r="J104" s="37"/>
      <c r="K104" s="24"/>
    </row>
    <row r="105" spans="1:11" ht="52" x14ac:dyDescent="0.35">
      <c r="A105" s="91">
        <v>102</v>
      </c>
      <c r="B105" s="92" t="inlineStr">
        <is>
          <t xml:space="preserve">Q81-8.1.d</t>
        </is>
      </c>
      <c r="C105" s="93" t="s">
        <v>22</v>
      </c>
      <c r="D105" s="100" t="s">
        <v>243</v>
      </c>
      <c r="E105" s="5"/>
      <c r="F105" s="37"/>
      <c r="G105" s="37"/>
      <c r="H105" s="37"/>
      <c r="I105" s="37"/>
      <c r="J105" s="37"/>
      <c r="K105" s="24"/>
    </row>
    <row r="106" spans="1:11" ht="52" x14ac:dyDescent="0.35">
      <c r="A106" s="96">
        <v>103</v>
      </c>
      <c r="B106" s="92" t="inlineStr">
        <is>
          <t xml:space="preserve">Q82-8.1.e</t>
        </is>
      </c>
      <c r="C106" s="93" t="s">
        <v>22</v>
      </c>
      <c r="D106" s="100" t="s">
        <v>245</v>
      </c>
      <c r="E106" s="5"/>
      <c r="F106" s="37"/>
      <c r="G106" s="37"/>
      <c r="H106" s="37"/>
      <c r="I106" s="37"/>
      <c r="J106" s="37"/>
      <c r="K106" s="24"/>
    </row>
    <row r="107" spans="1:11" x14ac:dyDescent="0.35">
      <c r="A107" s="99">
        <v>104</v>
      </c>
      <c r="B107" s="81">
        <v>8.1999999999999993</v>
      </c>
      <c r="C107" s="82" t="s">
        <v>22</v>
      </c>
      <c r="D107" s="90" t="s">
        <v>246</v>
      </c>
      <c r="E107" s="117"/>
      <c r="F107" s="109"/>
      <c r="G107" s="109"/>
      <c r="H107" s="109"/>
      <c r="I107" s="109"/>
      <c r="J107" s="109"/>
      <c r="K107" s="110"/>
    </row>
    <row r="108" spans="1:11" ht="91" x14ac:dyDescent="0.35">
      <c r="A108" s="96">
        <v>105</v>
      </c>
      <c r="B108" s="92" t="inlineStr">
        <is>
          <t xml:space="preserve">Q83-8.2</t>
        </is>
      </c>
      <c r="C108" s="93" t="s">
        <v>22</v>
      </c>
      <c r="D108" s="100" t="s">
        <v>248</v>
      </c>
      <c r="E108" s="5"/>
      <c r="F108" s="37"/>
      <c r="G108" s="37"/>
      <c r="H108" s="37"/>
      <c r="I108" s="37"/>
      <c r="J108" s="37"/>
      <c r="K108" s="24"/>
    </row>
    <row r="109" spans="1:11" x14ac:dyDescent="0.35">
      <c r="A109" s="99">
        <v>106</v>
      </c>
      <c r="B109" s="81">
        <v>8.3000000000000007</v>
      </c>
      <c r="C109" s="82" t="s">
        <v>22</v>
      </c>
      <c r="D109" s="90" t="s">
        <v>249</v>
      </c>
      <c r="E109" s="117"/>
      <c r="F109" s="109"/>
      <c r="G109" s="109"/>
      <c r="H109" s="109"/>
      <c r="I109" s="109"/>
      <c r="J109" s="109"/>
      <c r="K109" s="110"/>
    </row>
    <row r="110" spans="1:11" ht="91" x14ac:dyDescent="0.35">
      <c r="A110" s="96">
        <v>107</v>
      </c>
      <c r="B110" s="92" t="inlineStr">
        <is>
          <t xml:space="preserve">Q84-8.3</t>
        </is>
      </c>
      <c r="C110" s="93" t="s">
        <v>22</v>
      </c>
      <c r="D110" s="76" t="s">
        <v>251</v>
      </c>
      <c r="E110" s="5"/>
      <c r="F110" s="37"/>
      <c r="G110" s="37"/>
      <c r="H110" s="37"/>
      <c r="I110" s="37"/>
      <c r="J110" s="37"/>
      <c r="K110" s="24"/>
    </row>
    <row r="111" spans="1:11" ht="26" x14ac:dyDescent="0.35">
      <c r="A111" s="101">
        <v>108</v>
      </c>
      <c r="B111" s="83">
        <v>9</v>
      </c>
      <c r="C111" s="84" t="s">
        <v>252</v>
      </c>
      <c r="D111" s="98" t="s">
        <v>253</v>
      </c>
      <c r="E111" s="119"/>
      <c r="F111" s="107"/>
      <c r="G111" s="107"/>
      <c r="H111" s="107"/>
      <c r="I111" s="107"/>
      <c r="J111" s="107"/>
      <c r="K111" s="108"/>
    </row>
    <row r="112" spans="1:11" ht="26" x14ac:dyDescent="0.35">
      <c r="A112" s="89">
        <v>109</v>
      </c>
      <c r="B112" s="81">
        <v>9.1</v>
      </c>
      <c r="C112" s="82" t="s">
        <v>252</v>
      </c>
      <c r="D112" s="90" t="s">
        <v>254</v>
      </c>
      <c r="E112" s="117"/>
      <c r="F112" s="109"/>
      <c r="G112" s="109"/>
      <c r="H112" s="109"/>
      <c r="I112" s="109"/>
      <c r="J112" s="109"/>
      <c r="K112" s="110"/>
    </row>
    <row r="113" spans="1:11" ht="52" x14ac:dyDescent="0.35">
      <c r="A113" s="91">
        <v>110</v>
      </c>
      <c r="B113" s="92" t="inlineStr">
        <is>
          <t xml:space="preserve">Q85-9.1.a</t>
        </is>
      </c>
      <c r="C113" s="93" t="s">
        <v>252</v>
      </c>
      <c r="D113" s="100" t="s">
        <v>256</v>
      </c>
      <c r="E113" s="5"/>
      <c r="F113" s="37"/>
      <c r="G113" s="37"/>
      <c r="H113" s="37"/>
      <c r="I113" s="37"/>
      <c r="J113" s="37"/>
      <c r="K113" s="24"/>
    </row>
    <row r="114" spans="1:11" ht="65" x14ac:dyDescent="0.35">
      <c r="A114" s="96">
        <v>111</v>
      </c>
      <c r="B114" s="92" t="inlineStr">
        <is>
          <t xml:space="preserve">Q86-9.1.b</t>
        </is>
      </c>
      <c r="C114" s="93" t="s">
        <v>252</v>
      </c>
      <c r="D114" s="100" t="s">
        <v>258</v>
      </c>
      <c r="E114" s="5"/>
      <c r="F114" s="37"/>
      <c r="G114" s="37"/>
      <c r="H114" s="37"/>
      <c r="I114" s="37"/>
      <c r="J114" s="37"/>
      <c r="K114" s="24"/>
    </row>
    <row r="115" spans="1:11" ht="52" x14ac:dyDescent="0.35">
      <c r="A115" s="91">
        <v>112</v>
      </c>
      <c r="B115" s="92" t="inlineStr">
        <is>
          <t xml:space="preserve">Q87-9.1.c</t>
        </is>
      </c>
      <c r="C115" s="93" t="s">
        <v>252</v>
      </c>
      <c r="D115" s="76" t="s">
        <v>260</v>
      </c>
      <c r="E115" s="5"/>
      <c r="F115" s="37"/>
      <c r="G115" s="37"/>
      <c r="H115" s="37"/>
      <c r="I115" s="37"/>
      <c r="J115" s="37"/>
      <c r="K115" s="24"/>
    </row>
    <row r="116" spans="1:11" ht="39" x14ac:dyDescent="0.35">
      <c r="A116" s="96">
        <v>113</v>
      </c>
      <c r="B116" s="92" t="inlineStr">
        <is>
          <t xml:space="preserve">Q88-9.1.d</t>
        </is>
      </c>
      <c r="C116" s="93" t="s">
        <v>252</v>
      </c>
      <c r="D116" s="100" t="s">
        <v>262</v>
      </c>
      <c r="E116" s="5"/>
      <c r="F116" s="37"/>
      <c r="G116" s="37"/>
      <c r="H116" s="37"/>
      <c r="I116" s="37"/>
      <c r="J116" s="37"/>
      <c r="K116" s="24"/>
    </row>
    <row r="117" spans="1:11" ht="52" x14ac:dyDescent="0.35">
      <c r="A117" s="91">
        <v>114</v>
      </c>
      <c r="B117" s="92" t="inlineStr">
        <is>
          <t xml:space="preserve">Q89-9.1.e</t>
        </is>
      </c>
      <c r="C117" s="93" t="s">
        <v>252</v>
      </c>
      <c r="D117" s="100" t="s">
        <v>264</v>
      </c>
      <c r="E117" s="5"/>
      <c r="F117" s="37"/>
      <c r="G117" s="37"/>
      <c r="H117" s="37"/>
      <c r="I117" s="37"/>
      <c r="J117" s="37"/>
      <c r="K117" s="24"/>
    </row>
    <row r="118" spans="1:11" ht="52" x14ac:dyDescent="0.35">
      <c r="A118" s="96">
        <v>115</v>
      </c>
      <c r="B118" s="92" t="inlineStr">
        <is>
          <t xml:space="preserve">Q90-9.1.f</t>
        </is>
      </c>
      <c r="C118" s="93" t="s">
        <v>252</v>
      </c>
      <c r="D118" s="100" t="s">
        <v>266</v>
      </c>
      <c r="E118" s="5"/>
      <c r="F118" s="37"/>
      <c r="G118" s="37"/>
      <c r="H118" s="37"/>
      <c r="I118" s="37"/>
      <c r="J118" s="37"/>
      <c r="K118" s="24"/>
    </row>
    <row r="119" spans="1:11" ht="78" x14ac:dyDescent="0.35">
      <c r="A119" s="91">
        <v>116</v>
      </c>
      <c r="B119" s="92" t="inlineStr">
        <is>
          <t xml:space="preserve">Q91-9.1</t>
        </is>
      </c>
      <c r="C119" s="93" t="s">
        <v>252</v>
      </c>
      <c r="D119" s="76" t="s">
        <v>268</v>
      </c>
      <c r="E119" s="5"/>
      <c r="F119" s="37"/>
      <c r="G119" s="37"/>
      <c r="H119" s="37"/>
      <c r="I119" s="37"/>
      <c r="J119" s="37"/>
      <c r="K119" s="24"/>
    </row>
    <row r="120" spans="1:11" ht="26" x14ac:dyDescent="0.35">
      <c r="A120" s="89">
        <v>117</v>
      </c>
      <c r="B120" s="81">
        <v>9.1999999999999993</v>
      </c>
      <c r="C120" s="82" t="s">
        <v>252</v>
      </c>
      <c r="D120" s="90" t="s">
        <v>269</v>
      </c>
      <c r="E120" s="117"/>
      <c r="F120" s="109"/>
      <c r="G120" s="109"/>
      <c r="H120" s="109"/>
      <c r="I120" s="109"/>
      <c r="J120" s="109"/>
      <c r="K120" s="110"/>
    </row>
    <row r="121" spans="1:11" ht="78" x14ac:dyDescent="0.35">
      <c r="A121" s="91">
        <v>118</v>
      </c>
      <c r="B121" s="92" t="inlineStr">
        <is>
          <t xml:space="preserve">Q92-9.2.1</t>
        </is>
      </c>
      <c r="C121" s="93" t="s">
        <v>252</v>
      </c>
      <c r="D121" s="76" t="s">
        <v>271</v>
      </c>
      <c r="E121" s="5"/>
      <c r="F121" s="37"/>
      <c r="G121" s="37"/>
      <c r="H121" s="37"/>
      <c r="I121" s="37"/>
      <c r="J121" s="37"/>
      <c r="K121" s="24"/>
    </row>
    <row r="122" spans="1:11" ht="117" x14ac:dyDescent="0.35">
      <c r="A122" s="96">
        <v>119</v>
      </c>
      <c r="B122" s="92" t="inlineStr">
        <is>
          <t xml:space="preserve">Q93-9.2.2</t>
        </is>
      </c>
      <c r="C122" s="93" t="s">
        <v>252</v>
      </c>
      <c r="D122" s="100" t="s">
        <v>273</v>
      </c>
      <c r="E122" s="5"/>
      <c r="F122" s="37"/>
      <c r="G122" s="37"/>
      <c r="H122" s="37"/>
      <c r="I122" s="37"/>
      <c r="J122" s="37"/>
      <c r="K122" s="24"/>
    </row>
    <row r="123" spans="1:11" ht="26" x14ac:dyDescent="0.35">
      <c r="A123" s="91">
        <v>120</v>
      </c>
      <c r="B123" s="92" t="inlineStr">
        <is>
          <t xml:space="preserve">Q94-9.2.2.a</t>
        </is>
      </c>
      <c r="C123" s="93" t="s">
        <v>252</v>
      </c>
      <c r="D123" s="76" t="s">
        <v>275</v>
      </c>
      <c r="E123" s="5"/>
      <c r="F123" s="37"/>
      <c r="G123" s="37"/>
      <c r="H123" s="37"/>
      <c r="I123" s="37"/>
      <c r="J123" s="37"/>
      <c r="K123" s="24"/>
    </row>
    <row r="124" spans="1:11" ht="52" x14ac:dyDescent="0.35">
      <c r="A124" s="96">
        <v>121</v>
      </c>
      <c r="B124" s="92" t="inlineStr">
        <is>
          <t xml:space="preserve">Q95-9.2.2.b</t>
        </is>
      </c>
      <c r="C124" s="93" t="s">
        <v>252</v>
      </c>
      <c r="D124" s="100" t="s">
        <v>277</v>
      </c>
      <c r="E124" s="5"/>
      <c r="F124" s="37"/>
      <c r="G124" s="37"/>
      <c r="H124" s="37"/>
      <c r="I124" s="37"/>
      <c r="J124" s="37"/>
      <c r="K124" s="24"/>
    </row>
    <row r="125" spans="1:11" ht="26" x14ac:dyDescent="0.35">
      <c r="A125" s="91">
        <v>122</v>
      </c>
      <c r="B125" s="92" t="inlineStr">
        <is>
          <t xml:space="preserve">Q96-9.2.2.c</t>
        </is>
      </c>
      <c r="C125" s="93" t="s">
        <v>252</v>
      </c>
      <c r="D125" s="100" t="s">
        <v>279</v>
      </c>
      <c r="E125" s="5"/>
      <c r="F125" s="37"/>
      <c r="G125" s="37"/>
      <c r="H125" s="37"/>
      <c r="I125" s="37"/>
      <c r="J125" s="37"/>
      <c r="K125" s="24"/>
    </row>
    <row r="126" spans="1:11" ht="52" x14ac:dyDescent="0.35">
      <c r="A126" s="96">
        <v>123</v>
      </c>
      <c r="B126" s="92" t="inlineStr">
        <is>
          <t xml:space="preserve">Q97-9.2.2</t>
        </is>
      </c>
      <c r="C126" s="93" t="s">
        <v>252</v>
      </c>
      <c r="D126" s="100" t="s">
        <v>281</v>
      </c>
      <c r="E126" s="5"/>
      <c r="F126" s="37"/>
      <c r="G126" s="37"/>
      <c r="H126" s="37"/>
      <c r="I126" s="37"/>
      <c r="J126" s="37"/>
      <c r="K126" s="24"/>
    </row>
    <row r="127" spans="1:11" ht="26" x14ac:dyDescent="0.35">
      <c r="A127" s="99">
        <v>124</v>
      </c>
      <c r="B127" s="81">
        <v>9.3000000000000007</v>
      </c>
      <c r="C127" s="82" t="s">
        <v>252</v>
      </c>
      <c r="D127" s="90" t="s">
        <v>282</v>
      </c>
      <c r="E127" s="117"/>
      <c r="F127" s="109"/>
      <c r="G127" s="109"/>
      <c r="H127" s="109"/>
      <c r="I127" s="109"/>
      <c r="J127" s="109"/>
      <c r="K127" s="110"/>
    </row>
    <row r="128" spans="1:11" ht="65" x14ac:dyDescent="0.35">
      <c r="A128" s="96">
        <v>125</v>
      </c>
      <c r="B128" s="92" t="inlineStr">
        <is>
          <t xml:space="preserve">Q98-9.3.1</t>
        </is>
      </c>
      <c r="C128" s="93" t="s">
        <v>252</v>
      </c>
      <c r="D128" s="100" t="s">
        <v>284</v>
      </c>
      <c r="E128" s="5"/>
      <c r="F128" s="37"/>
      <c r="G128" s="37"/>
      <c r="H128" s="37"/>
      <c r="I128" s="37"/>
      <c r="J128" s="37"/>
      <c r="K128" s="24"/>
    </row>
    <row r="129" spans="1:11" ht="39" x14ac:dyDescent="0.35">
      <c r="A129" s="91">
        <v>126</v>
      </c>
      <c r="B129" s="92" t="inlineStr">
        <is>
          <t xml:space="preserve">Q99-9.3.2.a</t>
        </is>
      </c>
      <c r="C129" s="93" t="s">
        <v>252</v>
      </c>
      <c r="D129" s="100" t="inlineStr">
        <is>
          <t xml:space="preserve">Does the management review consider the status of actions from previous management reviews?</t>
        </is>
      </c>
      <c r="E129" s="5"/>
      <c r="F129" s="37"/>
      <c r="G129" s="37"/>
      <c r="H129" s="37"/>
      <c r="I129" s="37"/>
      <c r="J129" s="37"/>
      <c r="K129" s="24"/>
    </row>
    <row r="130" spans="1:11" ht="39" x14ac:dyDescent="0.35">
      <c r="A130" s="91">
        <v>127</v>
      </c>
      <c r="B130" s="92" t="inlineStr">
        <is>
          <t xml:space="preserve">Q100-9.3.2.b</t>
        </is>
      </c>
      <c r="C130" s="93" t="s">
        <v>252</v>
      </c>
      <c r="D130" s="100" t="inlineStr">
        <is>
          <t xml:space="preserve">Does the management review consider changes in external and internal issues that are relevant to the ISMS (including the climate change determination)?</t>
        </is>
      </c>
      <c r="E130" s="5"/>
      <c r="F130" s="37"/>
      <c r="G130" s="37"/>
      <c r="H130" s="37"/>
      <c r="I130" s="37"/>
      <c r="J130" s="37"/>
      <c r="K130" s="24"/>
    </row>
    <row r="131" spans="1:11" ht="39" x14ac:dyDescent="0.35">
      <c r="A131" s="91">
        <v>128</v>
      </c>
      <c r="B131" s="92" t="inlineStr">
        <is>
          <t xml:space="preserve">Q101-9.3.2.c</t>
        </is>
      </c>
      <c r="C131" s="93" t="s">
        <v>252</v>
      </c>
      <c r="D131" s="100" t="inlineStr">
        <is>
          <t xml:space="preserve">Does the management review consider changes in the needs and expectations of interested parties that are relevant to the ISMS?</t>
        </is>
      </c>
      <c r="E131" s="5"/>
      <c r="F131" s="37"/>
      <c r="G131" s="37"/>
      <c r="H131" s="37"/>
      <c r="I131" s="37"/>
      <c r="J131" s="37"/>
      <c r="K131" s="24"/>
    </row>
    <row r="132" spans="1:11" ht="39" x14ac:dyDescent="0.35">
      <c r="A132" s="91">
        <v>129</v>
      </c>
      <c r="B132" s="92" t="inlineStr">
        <is>
          <t xml:space="preserve">Q102-9.3.2.d</t>
        </is>
      </c>
      <c r="C132" s="93" t="s">
        <v>252</v>
      </c>
      <c r="D132" s="100" t="inlineStr">
        <is>
          <t xml:space="preserve">Does the management review consider feedback on information security performance, including trends in nonconformities and corrective actions, monitoring and measurement results, audit results, and fulfilment of information security objectives?</t>
        </is>
      </c>
      <c r="E132" s="5"/>
      <c r="F132" s="37"/>
      <c r="G132" s="37"/>
      <c r="H132" s="37"/>
      <c r="I132" s="37"/>
      <c r="J132" s="37"/>
      <c r="K132" s="24"/>
    </row>
    <row r="133" spans="1:11" ht="39" x14ac:dyDescent="0.35">
      <c r="A133" s="91">
        <v>130</v>
      </c>
      <c r="B133" s="92" t="inlineStr">
        <is>
          <t xml:space="preserve">Q103-9.3.2.e</t>
        </is>
      </c>
      <c r="C133" s="93" t="s">
        <v>252</v>
      </c>
      <c r="D133" s="100" t="inlineStr">
        <is>
          <t xml:space="preserve">Does the management review consider feedback from interested parties?</t>
        </is>
      </c>
      <c r="E133" s="5"/>
      <c r="F133" s="37"/>
      <c r="G133" s="37"/>
      <c r="H133" s="37"/>
      <c r="I133" s="37"/>
      <c r="J133" s="37"/>
      <c r="K133" s="24"/>
    </row>
    <row r="134" spans="1:11" ht="39" x14ac:dyDescent="0.35">
      <c r="A134" s="91">
        <v>131</v>
      </c>
      <c r="B134" s="92" t="inlineStr">
        <is>
          <t xml:space="preserve">Q104-9.3.2.f</t>
        </is>
      </c>
      <c r="C134" s="93" t="s">
        <v>252</v>
      </c>
      <c r="D134" s="100" t="inlineStr">
        <is>
          <t xml:space="preserve">Does the management review consider the results of risk assessment and the status of the risk treatment plan?</t>
        </is>
      </c>
      <c r="E134" s="5"/>
      <c r="F134" s="37"/>
      <c r="G134" s="37"/>
      <c r="H134" s="37"/>
      <c r="I134" s="37"/>
      <c r="J134" s="37"/>
      <c r="K134" s="24"/>
    </row>
    <row r="135" spans="1:11" ht="39" x14ac:dyDescent="0.35">
      <c r="A135" s="91">
        <v>132</v>
      </c>
      <c r="B135" s="92" t="inlineStr">
        <is>
          <t xml:space="preserve">Q105-9.3.2.g</t>
        </is>
      </c>
      <c r="C135" s="93" t="s">
        <v>252</v>
      </c>
      <c r="D135" s="100" t="inlineStr">
        <is>
          <t xml:space="preserve">Does the management review consider opportunities for continual improvement?</t>
        </is>
      </c>
      <c r="E135" s="5"/>
      <c r="F135" s="37"/>
      <c r="G135" s="37"/>
      <c r="H135" s="37"/>
      <c r="I135" s="37"/>
      <c r="J135" s="37"/>
      <c r="K135" s="24"/>
    </row>
    <row r="136" spans="1:11" ht="91" x14ac:dyDescent="0.35">
      <c r="A136" s="96">
        <v>133</v>
      </c>
      <c r="B136" s="92" t="inlineStr">
        <is>
          <t xml:space="preserve">Q106-9.3.3</t>
        </is>
      </c>
      <c r="C136" s="93" t="s">
        <v>252</v>
      </c>
      <c r="D136" s="100" t="s">
        <v>296</v>
      </c>
      <c r="E136" s="5"/>
      <c r="F136" s="37"/>
      <c r="G136" s="37"/>
      <c r="H136" s="37"/>
      <c r="I136" s="37"/>
      <c r="J136" s="37"/>
      <c r="K136" s="24"/>
    </row>
    <row r="137" spans="1:11" x14ac:dyDescent="0.35">
      <c r="A137" s="101">
        <v>134</v>
      </c>
      <c r="B137" s="83">
        <v>10</v>
      </c>
      <c r="C137" s="84" t="s">
        <v>297</v>
      </c>
      <c r="D137" s="98" t="s">
        <v>48</v>
      </c>
      <c r="E137" s="119"/>
      <c r="F137" s="51"/>
      <c r="G137" s="51"/>
      <c r="H137" s="51"/>
      <c r="I137" s="51"/>
      <c r="J137" s="51"/>
      <c r="K137" s="52"/>
    </row>
    <row r="138" spans="1:11" x14ac:dyDescent="0.35">
      <c r="A138" s="89">
        <v>135</v>
      </c>
      <c r="B138" s="81">
        <v>10.1</v>
      </c>
      <c r="C138" s="82" t="s">
        <v>297</v>
      </c>
      <c r="D138" s="90" t="s">
        <v>298</v>
      </c>
      <c r="E138" s="117"/>
      <c r="F138" s="109"/>
      <c r="G138" s="109"/>
      <c r="H138" s="109"/>
      <c r="I138" s="109"/>
      <c r="J138" s="109"/>
      <c r="K138" s="110"/>
    </row>
    <row r="139" spans="1:11" ht="65" x14ac:dyDescent="0.35">
      <c r="A139" s="96">
        <v>136</v>
      </c>
      <c r="B139" s="92" t="inlineStr">
        <is>
          <t xml:space="preserve">Q107-10.1</t>
        </is>
      </c>
      <c r="C139" s="93" t="s">
        <v>297</v>
      </c>
      <c r="D139" s="100" t="s">
        <v>317</v>
      </c>
      <c r="E139" s="5"/>
      <c r="F139" s="37"/>
      <c r="G139" s="37"/>
      <c r="H139" s="37"/>
      <c r="I139" s="37"/>
      <c r="J139" s="37"/>
      <c r="K139" s="24"/>
    </row>
    <row r="140" spans="1:11" x14ac:dyDescent="0.35">
      <c r="A140" s="99">
        <v>137</v>
      </c>
      <c r="B140" s="81">
        <v>10.199999999999999</v>
      </c>
      <c r="C140" s="82" t="s">
        <v>297</v>
      </c>
      <c r="D140" s="90" t="s">
        <v>315</v>
      </c>
      <c r="E140" s="117"/>
      <c r="F140" s="109"/>
      <c r="G140" s="109"/>
      <c r="H140" s="109"/>
      <c r="I140" s="109"/>
      <c r="J140" s="109"/>
      <c r="K140" s="110"/>
    </row>
    <row r="141" spans="1:11" ht="78" x14ac:dyDescent="0.35">
      <c r="A141" s="91">
        <v>138</v>
      </c>
      <c r="B141" s="92" t="inlineStr">
        <is>
          <t xml:space="preserve">Q108-10.2.a</t>
        </is>
      </c>
      <c r="C141" s="93" t="s">
        <v>297</v>
      </c>
      <c r="D141" s="100" t="inlineStr">
        <is>
          <t xml:space="preserve">When a nonconformity (a requirement that is not fulfilled) occurs, does the organization react to it and, as applicable, take action to control and correct it and deal with the consequences?</t>
        </is>
      </c>
      <c r="E141" s="5"/>
      <c r="F141" s="37"/>
      <c r="G141" s="37"/>
      <c r="H141" s="37"/>
      <c r="I141" s="37"/>
      <c r="J141" s="37"/>
      <c r="K141" s="24"/>
    </row>
    <row r="142" spans="1:11" ht="52" x14ac:dyDescent="0.35">
      <c r="A142" s="96">
        <v>139</v>
      </c>
      <c r="B142" s="92" t="inlineStr">
        <is>
          <t xml:space="preserve">Q109-10.2.b1</t>
        </is>
      </c>
      <c r="C142" s="93" t="s">
        <v>297</v>
      </c>
      <c r="D142" s="100" t="s">
        <v>302</v>
      </c>
      <c r="E142" s="5"/>
      <c r="F142" s="37"/>
      <c r="G142" s="37"/>
      <c r="H142" s="37"/>
      <c r="I142" s="37"/>
      <c r="J142" s="37"/>
      <c r="K142" s="24"/>
    </row>
    <row r="143" spans="1:11" ht="65" x14ac:dyDescent="0.35">
      <c r="A143" s="91">
        <v>140</v>
      </c>
      <c r="B143" s="92" t="inlineStr">
        <is>
          <t xml:space="preserve">Q110-10.2.b2</t>
        </is>
      </c>
      <c r="C143" s="93" t="s">
        <v>297</v>
      </c>
      <c r="D143" s="100" t="s">
        <v>304</v>
      </c>
      <c r="E143" s="5"/>
      <c r="F143" s="37"/>
      <c r="G143" s="37"/>
      <c r="H143" s="37"/>
      <c r="I143" s="37"/>
      <c r="J143" s="37"/>
      <c r="K143" s="24"/>
    </row>
    <row r="144" spans="1:11" ht="52" x14ac:dyDescent="0.35">
      <c r="A144" s="96">
        <v>141</v>
      </c>
      <c r="B144" s="92" t="inlineStr">
        <is>
          <t xml:space="preserve">Q111-10.2.c</t>
        </is>
      </c>
      <c r="C144" s="93" t="s">
        <v>297</v>
      </c>
      <c r="D144" s="100" t="s">
        <v>306</v>
      </c>
      <c r="E144" s="5"/>
      <c r="F144" s="37"/>
      <c r="G144" s="37"/>
      <c r="H144" s="37"/>
      <c r="I144" s="37"/>
      <c r="J144" s="37"/>
      <c r="K144" s="24"/>
    </row>
    <row r="145" spans="1:11" ht="65" x14ac:dyDescent="0.35">
      <c r="A145" s="91">
        <v>142</v>
      </c>
      <c r="B145" s="92" t="inlineStr">
        <is>
          <t xml:space="preserve">Q112-10.2.d</t>
        </is>
      </c>
      <c r="C145" s="93" t="s">
        <v>297</v>
      </c>
      <c r="D145" s="100" t="s">
        <v>308</v>
      </c>
      <c r="E145" s="5"/>
      <c r="F145" s="37"/>
      <c r="G145" s="37"/>
      <c r="H145" s="37"/>
      <c r="I145" s="37"/>
      <c r="J145" s="37"/>
      <c r="K145" s="24"/>
    </row>
    <row r="146" spans="1:11" ht="78" x14ac:dyDescent="0.35">
      <c r="A146" s="96">
        <v>143</v>
      </c>
      <c r="B146" s="92" t="inlineStr">
        <is>
          <t xml:space="preserve">Q113-10.2</t>
        </is>
      </c>
      <c r="C146" s="93" t="s">
        <v>297</v>
      </c>
      <c r="D146" s="100" t="inlineStr">
        <is>
          <t xml:space="preserve">Are corrective actions appropriate to the effects of the nonconformities encountered?</t>
        </is>
      </c>
      <c r="E146" s="5"/>
      <c r="F146" s="37"/>
      <c r="G146" s="37"/>
      <c r="H146" s="37"/>
      <c r="I146" s="37"/>
      <c r="J146" s="37"/>
      <c r="K146" s="24"/>
    </row>
    <row r="147" spans="1:11" ht="65" x14ac:dyDescent="0.35">
      <c r="A147" s="91">
        <v>144</v>
      </c>
      <c r="B147" s="92" t="inlineStr">
        <is>
          <t xml:space="preserve">Q114-10.2.e</t>
        </is>
      </c>
      <c r="C147" s="93" t="s">
        <v>297</v>
      </c>
      <c r="D147" s="100" t="s">
        <v>312</v>
      </c>
      <c r="E147" s="5"/>
      <c r="F147" s="37"/>
      <c r="G147" s="37"/>
      <c r="H147" s="37"/>
      <c r="I147" s="37"/>
      <c r="J147" s="37"/>
      <c r="K147" s="24"/>
    </row>
    <row r="148" spans="1:11" ht="65" x14ac:dyDescent="0.35">
      <c r="A148" s="96">
        <v>145</v>
      </c>
      <c r="B148" s="92" t="inlineStr">
        <is>
          <t xml:space="preserve">Q115-10.2</t>
        </is>
      </c>
      <c r="C148" s="93" t="s">
        <v>297</v>
      </c>
      <c r="D148" s="100" t="s">
        <v>314</v>
      </c>
      <c r="E148" s="5"/>
      <c r="F148" s="37"/>
      <c r="G148" s="37"/>
      <c r="H148" s="37"/>
      <c r="I148" s="37"/>
      <c r="J148" s="37"/>
      <c r="K148" s="24"/>
    </row>
    <row r="149" spans="1:11" ht="39" x14ac:dyDescent="0.35">
      <c r="A149" s="101">
        <v>146</v>
      </c>
      <c r="B149" s="83" t="s">
        <v>516</v>
      </c>
      <c r="C149" s="84" t="s">
        <v>73</v>
      </c>
      <c r="D149" s="98" t="s">
        <v>73</v>
      </c>
      <c r="E149" s="119"/>
      <c r="F149" s="51"/>
      <c r="G149" s="51"/>
      <c r="H149" s="51"/>
      <c r="I149" s="51"/>
      <c r="J149" s="51"/>
      <c r="K149" s="52"/>
    </row>
    <row r="150" spans="1:11" ht="39" x14ac:dyDescent="0.35">
      <c r="A150" s="89">
        <v>147</v>
      </c>
      <c r="B150" s="81" t="s">
        <v>65</v>
      </c>
      <c r="C150" s="82" t="inlineStr">
        <is>
          <t xml:space="preserve">Annex A. 5 Organizational controls</t>
        </is>
      </c>
      <c r="D150" s="102" t="s">
        <v>318</v>
      </c>
      <c r="E150" s="117"/>
      <c r="F150" s="109"/>
      <c r="G150" s="109"/>
      <c r="H150" s="109"/>
      <c r="I150" s="109"/>
      <c r="J150" s="109"/>
      <c r="K150" s="110"/>
    </row>
    <row r="151" spans="1:11" ht="65" x14ac:dyDescent="0.35">
      <c r="A151" s="91">
        <v>148</v>
      </c>
      <c r="B151" s="92" t="inlineStr">
        <is>
          <t xml:space="preserve">Q116-A.5.1</t>
        </is>
      </c>
      <c r="C151" s="93" t="inlineStr">
        <is>
          <t xml:space="preserve">Annex A. 5 Organizational controls</t>
        </is>
      </c>
      <c r="D151" s="76" t="s">
        <v>320</v>
      </c>
      <c r="E151" s="5"/>
      <c r="F151" s="37"/>
      <c r="G151" s="37"/>
      <c r="H151" s="37"/>
      <c r="I151" s="37"/>
      <c r="J151" s="37"/>
      <c r="K151" s="24"/>
    </row>
    <row r="152" spans="1:11" ht="78" x14ac:dyDescent="0.35">
      <c r="A152" s="96">
        <v>149</v>
      </c>
      <c r="B152" s="92" t="inlineStr">
        <is>
          <t xml:space="preserve">Q117-A.5.2</t>
        </is>
      </c>
      <c r="C152" s="93" t="inlineStr">
        <is>
          <t xml:space="preserve">Annex A. 5 Organizational controls</t>
        </is>
      </c>
      <c r="D152" s="76" t="s">
        <v>322</v>
      </c>
      <c r="E152" s="5"/>
      <c r="F152" s="37"/>
      <c r="G152" s="37" t="s">
        <v>512</v>
      </c>
      <c r="H152" s="37" t="s">
        <v>513</v>
      </c>
      <c r="I152" s="37" t="s">
        <v>514</v>
      </c>
      <c r="J152" s="37" t="s">
        <v>515</v>
      </c>
      <c r="K152" s="24"/>
    </row>
    <row r="153" spans="1:11" ht="78" x14ac:dyDescent="0.35">
      <c r="A153" s="91">
        <v>150</v>
      </c>
      <c r="B153" s="92" t="inlineStr">
        <is>
          <t xml:space="preserve">Q118-A.5.3</t>
        </is>
      </c>
      <c r="C153" s="93" t="inlineStr">
        <is>
          <t xml:space="preserve">Annex A. 5 Organizational controls</t>
        </is>
      </c>
      <c r="D153" s="100" t="s">
        <v>324</v>
      </c>
      <c r="E153" s="5"/>
      <c r="F153" s="37"/>
      <c r="G153" s="37"/>
      <c r="H153" s="37"/>
      <c r="I153" s="37"/>
      <c r="J153" s="37"/>
      <c r="K153" s="24"/>
    </row>
    <row r="154" spans="1:11" ht="78" x14ac:dyDescent="0.35">
      <c r="A154" s="96">
        <v>151</v>
      </c>
      <c r="B154" s="92" t="inlineStr">
        <is>
          <t xml:space="preserve">Q119-A.5.4</t>
        </is>
      </c>
      <c r="C154" s="93" t="inlineStr">
        <is>
          <t xml:space="preserve">Annex A. 5 Organizational controls</t>
        </is>
      </c>
      <c r="D154" s="100" t="inlineStr">
        <is>
          <t xml:space="preserve">Does management require all personnel to apply information security in accordance with the information security policy, topic-specific policies and procedures (for example, through briefings before access is granted and by supporting compliance in their teams)?</t>
        </is>
      </c>
      <c r="E154" s="5"/>
      <c r="F154" s="37"/>
      <c r="G154" s="37"/>
      <c r="H154" s="37"/>
      <c r="I154" s="37"/>
      <c r="J154" s="37"/>
      <c r="K154" s="24"/>
    </row>
    <row r="155" spans="1:11" ht="78" x14ac:dyDescent="0.35">
      <c r="A155" s="91">
        <v>152</v>
      </c>
      <c r="B155" s="92" t="inlineStr">
        <is>
          <t xml:space="preserve">Q120-A.5.5</t>
        </is>
      </c>
      <c r="C155" s="93" t="inlineStr">
        <is>
          <t xml:space="preserve">Annex A. 5 Organizational controls</t>
        </is>
      </c>
      <c r="D155" s="100" t="s">
        <v>328</v>
      </c>
      <c r="E155" s="5"/>
      <c r="F155" s="37"/>
      <c r="G155" s="37"/>
      <c r="H155" s="37"/>
      <c r="I155" s="37"/>
      <c r="J155" s="37"/>
      <c r="K155" s="24"/>
    </row>
    <row r="156" spans="1:11" ht="65" x14ac:dyDescent="0.35">
      <c r="A156" s="96">
        <v>153</v>
      </c>
      <c r="B156" s="92" t="inlineStr">
        <is>
          <t xml:space="preserve">Q121-A.5.6</t>
        </is>
      </c>
      <c r="C156" s="93" t="inlineStr">
        <is>
          <t xml:space="preserve">Annex A. 5 Organizational controls</t>
        </is>
      </c>
      <c r="D156" s="100" t="s">
        <v>330</v>
      </c>
      <c r="E156" s="5"/>
      <c r="F156" s="37"/>
      <c r="G156" s="37"/>
      <c r="H156" s="37"/>
      <c r="I156" s="37"/>
      <c r="J156" s="37"/>
      <c r="K156" s="24"/>
    </row>
    <row r="157" spans="1:11" ht="65" x14ac:dyDescent="0.35">
      <c r="A157" s="91">
        <v>154</v>
      </c>
      <c r="B157" s="92" t="inlineStr">
        <is>
          <t xml:space="preserve">Q122-A.5.7</t>
        </is>
      </c>
      <c r="C157" s="93" t="inlineStr">
        <is>
          <t xml:space="preserve">Annex A. 5 Organizational controls</t>
        </is>
      </c>
      <c r="D157" s="100" t="s">
        <v>332</v>
      </c>
      <c r="E157" s="5"/>
      <c r="F157" s="37"/>
      <c r="G157" s="37"/>
      <c r="H157" s="37"/>
      <c r="I157" s="37"/>
      <c r="J157" s="37"/>
      <c r="K157" s="24"/>
    </row>
    <row r="158" spans="1:11" ht="78" x14ac:dyDescent="0.35">
      <c r="A158" s="96">
        <v>155</v>
      </c>
      <c r="B158" s="92" t="inlineStr">
        <is>
          <t xml:space="preserve">Q123-A.5.8</t>
        </is>
      </c>
      <c r="C158" s="93" t="inlineStr">
        <is>
          <t xml:space="preserve">Annex A. 5 Organizational controls</t>
        </is>
      </c>
      <c r="D158" s="76" t="s">
        <v>334</v>
      </c>
      <c r="E158" s="5"/>
      <c r="F158" s="37"/>
      <c r="G158" s="37"/>
      <c r="H158" s="37"/>
      <c r="I158" s="37"/>
      <c r="J158" s="37"/>
      <c r="K158" s="24"/>
    </row>
    <row r="159" spans="1:11" ht="65" x14ac:dyDescent="0.35">
      <c r="A159" s="91">
        <v>156</v>
      </c>
      <c r="B159" s="92" t="inlineStr">
        <is>
          <t xml:space="preserve">Q124-A.5.9</t>
        </is>
      </c>
      <c r="C159" s="93" t="inlineStr">
        <is>
          <t xml:space="preserve">Annex A. 5 Organizational controls</t>
        </is>
      </c>
      <c r="D159" s="76" t="s">
        <v>336</v>
      </c>
      <c r="E159" s="5"/>
      <c r="F159" s="53"/>
      <c r="G159" s="54"/>
      <c r="H159" s="54"/>
      <c r="I159" s="54"/>
      <c r="J159" s="54"/>
      <c r="K159" s="55"/>
    </row>
    <row r="160" spans="1:11" ht="65" x14ac:dyDescent="0.35">
      <c r="A160" s="96">
        <v>157</v>
      </c>
      <c r="B160" s="92" t="inlineStr">
        <is>
          <t xml:space="preserve">Q125-A.5.10</t>
        </is>
      </c>
      <c r="C160" s="93" t="inlineStr">
        <is>
          <t xml:space="preserve">Annex A. 5 Organizational controls</t>
        </is>
      </c>
      <c r="D160" s="100" t="s">
        <v>338</v>
      </c>
      <c r="E160" s="5"/>
      <c r="F160" s="37"/>
      <c r="G160" s="37"/>
      <c r="H160" s="37"/>
      <c r="I160" s="37"/>
      <c r="J160" s="37"/>
      <c r="K160" s="24"/>
    </row>
    <row r="161" spans="1:11" ht="65" x14ac:dyDescent="0.35">
      <c r="A161" s="91">
        <v>158</v>
      </c>
      <c r="B161" s="92" t="inlineStr">
        <is>
          <t xml:space="preserve">Q126-A.5.11</t>
        </is>
      </c>
      <c r="C161" s="93" t="inlineStr">
        <is>
          <t xml:space="preserve">Annex A. 5 Organizational controls</t>
        </is>
      </c>
      <c r="D161" s="76" t="s">
        <v>340</v>
      </c>
      <c r="E161" s="5"/>
      <c r="F161" s="37"/>
      <c r="G161" s="37"/>
      <c r="H161" s="37"/>
      <c r="I161" s="37"/>
      <c r="J161" s="37"/>
      <c r="K161" s="24"/>
    </row>
    <row r="162" spans="1:11" ht="65" x14ac:dyDescent="0.35">
      <c r="A162" s="96">
        <v>159</v>
      </c>
      <c r="B162" s="92" t="inlineStr">
        <is>
          <t xml:space="preserve">Q127-A.5.12</t>
        </is>
      </c>
      <c r="C162" s="93" t="inlineStr">
        <is>
          <t xml:space="preserve">Annex A. 5 Organizational controls</t>
        </is>
      </c>
      <c r="D162" s="100" t="s">
        <v>342</v>
      </c>
      <c r="E162" s="5"/>
      <c r="F162" s="53"/>
      <c r="G162" s="37"/>
      <c r="H162" s="37"/>
      <c r="I162" s="37"/>
      <c r="J162" s="37"/>
      <c r="K162" s="24"/>
    </row>
    <row r="163" spans="1:11" ht="52" x14ac:dyDescent="0.35">
      <c r="A163" s="91">
        <v>160</v>
      </c>
      <c r="B163" s="92" t="inlineStr">
        <is>
          <t xml:space="preserve">Q128-A.5.13</t>
        </is>
      </c>
      <c r="C163" s="93" t="inlineStr">
        <is>
          <t xml:space="preserve">Annex A. 5 Organizational controls</t>
        </is>
      </c>
      <c r="D163" s="76" t="s">
        <v>344</v>
      </c>
      <c r="E163" s="5"/>
      <c r="F163" s="53"/>
      <c r="G163" s="37"/>
      <c r="H163" s="37"/>
      <c r="I163" s="37"/>
      <c r="J163" s="37"/>
      <c r="K163" s="24"/>
    </row>
    <row r="164" spans="1:11" ht="91" x14ac:dyDescent="0.35">
      <c r="A164" s="96">
        <v>161</v>
      </c>
      <c r="B164" s="92" t="inlineStr">
        <is>
          <t xml:space="preserve">Q129-A.5.14</t>
        </is>
      </c>
      <c r="C164" s="93" t="inlineStr">
        <is>
          <t xml:space="preserve">Annex A. 5 Organizational controls</t>
        </is>
      </c>
      <c r="D164" s="100" t="s">
        <v>346</v>
      </c>
      <c r="E164" s="5"/>
      <c r="F164" s="53"/>
      <c r="G164" s="37"/>
      <c r="H164" s="37"/>
      <c r="I164" s="37"/>
      <c r="J164" s="37"/>
      <c r="K164" s="24"/>
    </row>
    <row r="165" spans="1:11" ht="52" x14ac:dyDescent="0.35">
      <c r="A165" s="91">
        <v>162</v>
      </c>
      <c r="B165" s="92" t="inlineStr">
        <is>
          <t xml:space="preserve">Q130-A.5.15</t>
        </is>
      </c>
      <c r="C165" s="93" t="inlineStr">
        <is>
          <t xml:space="preserve">Annex A. 5 Organizational controls</t>
        </is>
      </c>
      <c r="D165" s="100" t="s">
        <v>348</v>
      </c>
      <c r="E165" s="5"/>
      <c r="F165" s="53"/>
      <c r="G165" s="37"/>
      <c r="H165" s="37"/>
      <c r="I165" s="37"/>
      <c r="J165" s="37"/>
      <c r="K165" s="24"/>
    </row>
    <row r="166" spans="1:11" ht="78" x14ac:dyDescent="0.35">
      <c r="A166" s="96">
        <v>163</v>
      </c>
      <c r="B166" s="92" t="inlineStr">
        <is>
          <t xml:space="preserve">Q131-A.5.16</t>
        </is>
      </c>
      <c r="C166" s="93" t="inlineStr">
        <is>
          <t xml:space="preserve">Annex A. 5 Organizational controls</t>
        </is>
      </c>
      <c r="D166" s="100" t="s">
        <v>350</v>
      </c>
      <c r="E166" s="5"/>
      <c r="F166" s="37"/>
      <c r="G166" s="37"/>
      <c r="H166" s="37"/>
      <c r="I166" s="37"/>
      <c r="J166" s="37"/>
      <c r="K166" s="24"/>
    </row>
    <row r="167" spans="1:11" ht="78" x14ac:dyDescent="0.35">
      <c r="A167" s="91">
        <v>164</v>
      </c>
      <c r="B167" s="92" t="inlineStr">
        <is>
          <t xml:space="preserve">Q132-A.5.17</t>
        </is>
      </c>
      <c r="C167" s="93" t="inlineStr">
        <is>
          <t xml:space="preserve">Annex A. 5 Organizational controls</t>
        </is>
      </c>
      <c r="D167" s="76" t="s">
        <v>352</v>
      </c>
      <c r="E167" s="5"/>
      <c r="F167" s="54"/>
      <c r="G167" s="37"/>
      <c r="H167" s="37"/>
      <c r="I167" s="37"/>
      <c r="J167" s="37"/>
      <c r="K167" s="24"/>
    </row>
    <row r="168" spans="1:11" ht="78" x14ac:dyDescent="0.35">
      <c r="A168" s="96">
        <v>165</v>
      </c>
      <c r="B168" s="92" t="inlineStr">
        <is>
          <t xml:space="preserve">Q133-A.5.18</t>
        </is>
      </c>
      <c r="C168" s="93" t="inlineStr">
        <is>
          <t xml:space="preserve">Annex A. 5 Organizational controls</t>
        </is>
      </c>
      <c r="D168" s="76" t="s">
        <v>354</v>
      </c>
      <c r="E168" s="5"/>
      <c r="F168" s="54"/>
      <c r="G168" s="37"/>
      <c r="H168" s="37"/>
      <c r="I168" s="37"/>
      <c r="J168" s="37"/>
      <c r="K168" s="24"/>
    </row>
    <row r="169" spans="1:11" ht="65" x14ac:dyDescent="0.35">
      <c r="A169" s="91">
        <v>166</v>
      </c>
      <c r="B169" s="92" t="inlineStr">
        <is>
          <t xml:space="preserve">Q134-A.5.19</t>
        </is>
      </c>
      <c r="C169" s="93" t="inlineStr">
        <is>
          <t xml:space="preserve">Annex A. 5 Organizational controls</t>
        </is>
      </c>
      <c r="D169" s="76" t="s">
        <v>356</v>
      </c>
      <c r="E169" s="5"/>
      <c r="F169" s="54"/>
      <c r="G169" s="37"/>
      <c r="H169" s="37"/>
      <c r="I169" s="37"/>
      <c r="J169" s="37"/>
      <c r="K169" s="24"/>
    </row>
    <row r="170" spans="1:11" ht="65" x14ac:dyDescent="0.35">
      <c r="A170" s="96">
        <v>167</v>
      </c>
      <c r="B170" s="92" t="inlineStr">
        <is>
          <t xml:space="preserve">Q135-A.5.20</t>
        </is>
      </c>
      <c r="C170" s="93" t="inlineStr">
        <is>
          <t xml:space="preserve">Annex A. 5 Organizational controls</t>
        </is>
      </c>
      <c r="D170" s="76" t="s">
        <v>358</v>
      </c>
      <c r="E170" s="5"/>
      <c r="F170" s="54"/>
      <c r="G170" s="37"/>
      <c r="H170" s="37"/>
      <c r="I170" s="37"/>
      <c r="J170" s="37"/>
      <c r="K170" s="24"/>
    </row>
    <row r="171" spans="1:11" ht="65" x14ac:dyDescent="0.35">
      <c r="A171" s="91">
        <v>168</v>
      </c>
      <c r="B171" s="92" t="inlineStr">
        <is>
          <t xml:space="preserve">Q136-A.5.21</t>
        </is>
      </c>
      <c r="C171" s="93" t="inlineStr">
        <is>
          <t xml:space="preserve">Annex A. 5 Organizational controls</t>
        </is>
      </c>
      <c r="D171" s="100" t="s">
        <v>360</v>
      </c>
      <c r="E171" s="5"/>
      <c r="F171" s="54"/>
      <c r="G171" s="37"/>
      <c r="H171" s="37"/>
      <c r="I171" s="37"/>
      <c r="J171" s="37"/>
      <c r="K171" s="24"/>
    </row>
    <row r="172" spans="1:11" ht="65" x14ac:dyDescent="0.35">
      <c r="A172" s="96">
        <v>169</v>
      </c>
      <c r="B172" s="92" t="inlineStr">
        <is>
          <t xml:space="preserve">Q137-A.5.22</t>
        </is>
      </c>
      <c r="C172" s="93" t="inlineStr">
        <is>
          <t xml:space="preserve">Annex A. 5 Organizational controls</t>
        </is>
      </c>
      <c r="D172" s="76" t="s">
        <v>362</v>
      </c>
      <c r="E172" s="5"/>
      <c r="F172" s="54"/>
      <c r="G172" s="37"/>
      <c r="H172" s="37"/>
      <c r="I172" s="37"/>
      <c r="J172" s="37"/>
      <c r="K172" s="24"/>
    </row>
    <row r="173" spans="1:11" ht="78" x14ac:dyDescent="0.35">
      <c r="A173" s="91">
        <v>170</v>
      </c>
      <c r="B173" s="92" t="inlineStr">
        <is>
          <t xml:space="preserve">Q138-A.5.23</t>
        </is>
      </c>
      <c r="C173" s="93" t="inlineStr">
        <is>
          <t xml:space="preserve">Annex A. 5 Organizational controls</t>
        </is>
      </c>
      <c r="D173" s="100" t="s">
        <v>364</v>
      </c>
      <c r="E173" s="5"/>
      <c r="F173" s="37"/>
      <c r="G173" s="37"/>
      <c r="H173" s="37"/>
      <c r="I173" s="37"/>
      <c r="J173" s="37"/>
      <c r="K173" s="24"/>
    </row>
    <row r="174" spans="1:11" ht="78" x14ac:dyDescent="0.35">
      <c r="A174" s="96">
        <v>171</v>
      </c>
      <c r="B174" s="92" t="inlineStr">
        <is>
          <t xml:space="preserve">Q139-A.5.24</t>
        </is>
      </c>
      <c r="C174" s="93" t="inlineStr">
        <is>
          <t xml:space="preserve">Annex A. 5 Organizational controls</t>
        </is>
      </c>
      <c r="D174" s="100" t="s">
        <v>366</v>
      </c>
      <c r="E174" s="5"/>
      <c r="F174" s="37"/>
      <c r="G174" s="57"/>
      <c r="H174" s="57"/>
      <c r="I174" s="57"/>
      <c r="J174" s="57"/>
      <c r="K174" s="58"/>
    </row>
    <row r="175" spans="1:11" ht="65" x14ac:dyDescent="0.35">
      <c r="A175" s="91">
        <v>172</v>
      </c>
      <c r="B175" s="92" t="inlineStr">
        <is>
          <t xml:space="preserve">Q140-A.5.25</t>
        </is>
      </c>
      <c r="C175" s="93" t="inlineStr">
        <is>
          <t xml:space="preserve">Annex A. 5 Organizational controls</t>
        </is>
      </c>
      <c r="D175" s="76" t="s">
        <v>368</v>
      </c>
      <c r="E175" s="5"/>
      <c r="F175" s="59"/>
      <c r="G175" s="57"/>
      <c r="H175" s="57"/>
      <c r="I175" s="57"/>
      <c r="J175" s="57"/>
      <c r="K175" s="58"/>
    </row>
    <row r="176" spans="1:11" ht="65" x14ac:dyDescent="0.35">
      <c r="A176" s="96">
        <v>173</v>
      </c>
      <c r="B176" s="92" t="inlineStr">
        <is>
          <t xml:space="preserve">Q141-A.5.26</t>
        </is>
      </c>
      <c r="C176" s="93" t="inlineStr">
        <is>
          <t xml:space="preserve">Annex A. 5 Organizational controls</t>
        </is>
      </c>
      <c r="D176" s="76" t="s">
        <v>370</v>
      </c>
      <c r="E176" s="5"/>
      <c r="F176" s="59"/>
      <c r="G176" s="57"/>
      <c r="H176" s="57"/>
      <c r="I176" s="57"/>
      <c r="J176" s="57"/>
      <c r="K176" s="58"/>
    </row>
    <row r="177" spans="1:11" ht="65" x14ac:dyDescent="0.35">
      <c r="A177" s="91">
        <v>174</v>
      </c>
      <c r="B177" s="92" t="inlineStr">
        <is>
          <t xml:space="preserve">Q142-A.5.27</t>
        </is>
      </c>
      <c r="C177" s="93" t="inlineStr">
        <is>
          <t xml:space="preserve">Annex A. 5 Organizational controls</t>
        </is>
      </c>
      <c r="D177" s="100" t="s">
        <v>372</v>
      </c>
      <c r="E177" s="5"/>
      <c r="F177" s="59"/>
      <c r="G177" s="57"/>
      <c r="H177" s="57"/>
      <c r="I177" s="57"/>
      <c r="J177" s="57"/>
      <c r="K177" s="58"/>
    </row>
    <row r="178" spans="1:11" ht="91" x14ac:dyDescent="0.35">
      <c r="A178" s="96">
        <v>175</v>
      </c>
      <c r="B178" s="92" t="inlineStr">
        <is>
          <t xml:space="preserve">Q143-A.5.28</t>
        </is>
      </c>
      <c r="C178" s="93" t="inlineStr">
        <is>
          <t xml:space="preserve">Annex A. 5 Organizational controls</t>
        </is>
      </c>
      <c r="D178" s="76" t="s">
        <v>374</v>
      </c>
      <c r="E178" s="5"/>
      <c r="F178" s="59"/>
      <c r="G178" s="57"/>
      <c r="H178" s="57"/>
      <c r="I178" s="57"/>
      <c r="J178" s="57"/>
      <c r="K178" s="58"/>
    </row>
    <row r="179" spans="1:11" ht="65" x14ac:dyDescent="0.35">
      <c r="A179" s="91">
        <v>176</v>
      </c>
      <c r="B179" s="92" t="inlineStr">
        <is>
          <t xml:space="preserve">Q144-A.5.29</t>
        </is>
      </c>
      <c r="C179" s="93" t="inlineStr">
        <is>
          <t xml:space="preserve">Annex A. 5 Organizational controls</t>
        </is>
      </c>
      <c r="D179" s="100" t="s">
        <v>376</v>
      </c>
      <c r="E179" s="5"/>
      <c r="F179" s="59"/>
      <c r="G179" s="57"/>
      <c r="H179" s="57"/>
      <c r="I179" s="57"/>
      <c r="J179" s="57"/>
      <c r="K179" s="58"/>
    </row>
    <row r="180" spans="1:11" ht="78" x14ac:dyDescent="0.35">
      <c r="A180" s="96">
        <v>177</v>
      </c>
      <c r="B180" s="92" t="inlineStr">
        <is>
          <t xml:space="preserve">Q145-A.5.30</t>
        </is>
      </c>
      <c r="C180" s="93" t="inlineStr">
        <is>
          <t xml:space="preserve">Annex A. 5 Organizational controls</t>
        </is>
      </c>
      <c r="D180" s="100" t="inlineStr">
        <is>
          <t xml:space="preserve">Is ICT readiness planned, implemented, maintained and tested based on business continuity objectives and ICT continuity requirements (for example, recovery objectives from a business impact analysis, ICT continuity plans and test results)?</t>
        </is>
      </c>
      <c r="E180" s="5"/>
      <c r="F180" s="59"/>
      <c r="G180" s="57"/>
      <c r="H180" s="57"/>
      <c r="I180" s="57"/>
      <c r="J180" s="57"/>
      <c r="K180" s="58"/>
    </row>
    <row r="181" spans="1:11" ht="91" x14ac:dyDescent="0.35">
      <c r="A181" s="91">
        <v>178</v>
      </c>
      <c r="B181" s="92" t="inlineStr">
        <is>
          <t xml:space="preserve">Q146-A.5.31</t>
        </is>
      </c>
      <c r="C181" s="93" t="inlineStr">
        <is>
          <t xml:space="preserve">Annex A. 5 Organizational controls</t>
        </is>
      </c>
      <c r="D181" s="100" t="s">
        <v>380</v>
      </c>
      <c r="E181" s="5"/>
      <c r="F181" s="59"/>
      <c r="G181" s="57"/>
      <c r="H181" s="57"/>
      <c r="I181" s="57"/>
      <c r="J181" s="57"/>
      <c r="K181" s="58"/>
    </row>
    <row r="182" spans="1:11" ht="65" x14ac:dyDescent="0.35">
      <c r="A182" s="96">
        <v>179</v>
      </c>
      <c r="B182" s="92" t="inlineStr">
        <is>
          <t xml:space="preserve">Q147-A.5.32</t>
        </is>
      </c>
      <c r="C182" s="93" t="inlineStr">
        <is>
          <t xml:space="preserve">Annex A. 5 Organizational controls</t>
        </is>
      </c>
      <c r="D182" s="100" t="s">
        <v>382</v>
      </c>
      <c r="E182" s="5"/>
      <c r="F182" s="59"/>
      <c r="G182" s="57"/>
      <c r="H182" s="57"/>
      <c r="I182" s="57"/>
      <c r="J182" s="57"/>
      <c r="K182" s="58"/>
    </row>
    <row r="183" spans="1:11" ht="78" x14ac:dyDescent="0.35">
      <c r="A183" s="91">
        <v>180</v>
      </c>
      <c r="B183" s="92" t="inlineStr">
        <is>
          <t xml:space="preserve">Q148-A.5.33</t>
        </is>
      </c>
      <c r="C183" s="93" t="inlineStr">
        <is>
          <t xml:space="preserve">Annex A. 5 Organizational controls</t>
        </is>
      </c>
      <c r="D183" s="76" t="s">
        <v>384</v>
      </c>
      <c r="E183" s="5"/>
      <c r="F183" s="59"/>
      <c r="G183" s="57"/>
      <c r="H183" s="57"/>
      <c r="I183" s="57"/>
      <c r="J183" s="57"/>
      <c r="K183" s="58"/>
    </row>
    <row r="184" spans="1:11" ht="78" x14ac:dyDescent="0.35">
      <c r="A184" s="96">
        <v>181</v>
      </c>
      <c r="B184" s="92" t="inlineStr">
        <is>
          <t xml:space="preserve">Q149-A.5.34</t>
        </is>
      </c>
      <c r="C184" s="93" t="inlineStr">
        <is>
          <t xml:space="preserve">Annex A. 5 Organizational controls</t>
        </is>
      </c>
      <c r="D184" s="76" t="s">
        <v>386</v>
      </c>
      <c r="E184" s="5"/>
      <c r="F184" s="59"/>
      <c r="G184" s="57"/>
      <c r="H184" s="57"/>
      <c r="I184" s="57"/>
      <c r="J184" s="57"/>
      <c r="K184" s="58"/>
    </row>
    <row r="185" spans="1:11" ht="65" x14ac:dyDescent="0.35">
      <c r="A185" s="91">
        <v>182</v>
      </c>
      <c r="B185" s="92" t="inlineStr">
        <is>
          <t xml:space="preserve">Q150-A.5.35</t>
        </is>
      </c>
      <c r="C185" s="93" t="inlineStr">
        <is>
          <t xml:space="preserve">Annex A. 5 Organizational controls</t>
        </is>
      </c>
      <c r="D185" s="100" t="s">
        <v>388</v>
      </c>
      <c r="E185" s="5"/>
      <c r="F185" s="59"/>
      <c r="G185" s="57"/>
      <c r="H185" s="57"/>
      <c r="I185" s="57"/>
      <c r="J185" s="57"/>
      <c r="K185" s="58"/>
    </row>
    <row r="186" spans="1:11" ht="65" x14ac:dyDescent="0.35">
      <c r="A186" s="96">
        <v>183</v>
      </c>
      <c r="B186" s="92" t="inlineStr">
        <is>
          <t xml:space="preserve">Q151-A.5.36</t>
        </is>
      </c>
      <c r="C186" s="93" t="inlineStr">
        <is>
          <t xml:space="preserve">Annex A. 5 Organizational controls</t>
        </is>
      </c>
      <c r="D186" s="76" t="s">
        <v>390</v>
      </c>
      <c r="E186" s="5"/>
      <c r="F186" s="59"/>
      <c r="G186" s="57"/>
      <c r="H186" s="57"/>
      <c r="I186" s="57"/>
      <c r="J186" s="57"/>
      <c r="K186" s="58"/>
    </row>
    <row r="187" spans="1:11" ht="78" x14ac:dyDescent="0.35">
      <c r="A187" s="91">
        <v>184</v>
      </c>
      <c r="B187" s="92" t="inlineStr">
        <is>
          <t xml:space="preserve">Q152-A.5.37</t>
        </is>
      </c>
      <c r="C187" s="93" t="inlineStr">
        <is>
          <t xml:space="preserve">Annex A. 5 Organizational controls</t>
        </is>
      </c>
      <c r="D187" s="100" t="s">
        <v>392</v>
      </c>
      <c r="E187" s="5"/>
      <c r="F187" s="59"/>
      <c r="G187" s="57"/>
      <c r="H187" s="57"/>
      <c r="I187" s="57"/>
      <c r="J187" s="57"/>
      <c r="K187" s="58"/>
    </row>
    <row r="188" spans="1:11" ht="26" x14ac:dyDescent="0.35">
      <c r="A188" s="89">
        <v>185</v>
      </c>
      <c r="B188" s="81" t="s">
        <v>66</v>
      </c>
      <c r="C188" s="82" t="inlineStr">
        <is>
          <t xml:space="preserve">Annex A. 6 People controls</t>
        </is>
      </c>
      <c r="D188" s="90" t="s">
        <v>393</v>
      </c>
      <c r="E188" s="117"/>
      <c r="F188" s="111"/>
      <c r="G188" s="112"/>
      <c r="H188" s="112"/>
      <c r="I188" s="112"/>
      <c r="J188" s="112"/>
      <c r="K188" s="113"/>
    </row>
    <row r="189" spans="1:11" ht="78" x14ac:dyDescent="0.35">
      <c r="A189" s="91">
        <v>186</v>
      </c>
      <c r="B189" s="92" t="inlineStr">
        <is>
          <t xml:space="preserve">Q153-A.6.1</t>
        </is>
      </c>
      <c r="C189" s="93" t="inlineStr">
        <is>
          <t xml:space="preserve">Annex A. 6 People controls</t>
        </is>
      </c>
      <c r="D189" s="76" t="s">
        <v>395</v>
      </c>
      <c r="E189" s="5"/>
      <c r="F189" s="59"/>
      <c r="G189" s="57"/>
      <c r="H189" s="57"/>
      <c r="I189" s="57"/>
      <c r="J189" s="57"/>
      <c r="K189" s="58"/>
    </row>
    <row r="190" spans="1:11" ht="78" x14ac:dyDescent="0.35">
      <c r="A190" s="96">
        <v>187</v>
      </c>
      <c r="B190" s="92" t="inlineStr">
        <is>
          <t xml:space="preserve">Q154-A.6.2</t>
        </is>
      </c>
      <c r="C190" s="93" t="inlineStr">
        <is>
          <t xml:space="preserve">Annex A. 6 People controls</t>
        </is>
      </c>
      <c r="D190" s="76" t="s">
        <v>397</v>
      </c>
      <c r="E190" s="5"/>
      <c r="F190" s="59"/>
      <c r="G190" s="57"/>
      <c r="H190" s="57"/>
      <c r="I190" s="57"/>
      <c r="J190" s="57"/>
      <c r="K190" s="58"/>
    </row>
    <row r="191" spans="1:11" ht="91" x14ac:dyDescent="0.35">
      <c r="A191" s="91">
        <v>188</v>
      </c>
      <c r="B191" s="92" t="inlineStr">
        <is>
          <t xml:space="preserve">Q155-A.6.3</t>
        </is>
      </c>
      <c r="C191" s="93" t="inlineStr">
        <is>
          <t xml:space="preserve">Annex A. 6 People controls</t>
        </is>
      </c>
      <c r="D191" s="100" t="s">
        <v>399</v>
      </c>
      <c r="E191" s="5"/>
      <c r="F191" s="59"/>
      <c r="G191" s="57"/>
      <c r="H191" s="57"/>
      <c r="I191" s="57"/>
      <c r="J191" s="57"/>
      <c r="K191" s="58"/>
    </row>
    <row r="192" spans="1:11" ht="78" x14ac:dyDescent="0.35">
      <c r="A192" s="96">
        <v>189</v>
      </c>
      <c r="B192" s="92" t="inlineStr">
        <is>
          <t xml:space="preserve">Q156-A.6.4</t>
        </is>
      </c>
      <c r="C192" s="93" t="inlineStr">
        <is>
          <t xml:space="preserve">Annex A. 6 People controls</t>
        </is>
      </c>
      <c r="D192" s="100" t="s">
        <v>401</v>
      </c>
      <c r="E192" s="5"/>
      <c r="F192" s="37"/>
      <c r="G192" s="37"/>
      <c r="H192" s="37"/>
      <c r="I192" s="37"/>
      <c r="J192" s="37"/>
      <c r="K192" s="24"/>
    </row>
    <row r="193" spans="1:11" ht="78" x14ac:dyDescent="0.35">
      <c r="A193" s="91">
        <v>190</v>
      </c>
      <c r="B193" s="92" t="inlineStr">
        <is>
          <t xml:space="preserve">Q157-A.6.5</t>
        </is>
      </c>
      <c r="C193" s="93" t="inlineStr">
        <is>
          <t xml:space="preserve">Annex A. 6 People controls</t>
        </is>
      </c>
      <c r="D193" s="76" t="inlineStr">
        <is>
          <t xml:space="preserve">Are the information security responsibilities and duties that remain valid after termination or change of employment (such as confidentiality) defined, enforced and communicated to the personnel and other interested parties concerned?</t>
        </is>
      </c>
      <c r="E193" s="5"/>
      <c r="F193" s="59"/>
      <c r="G193" s="59"/>
      <c r="H193" s="59"/>
      <c r="I193" s="59"/>
      <c r="J193" s="59"/>
      <c r="K193" s="60"/>
    </row>
    <row r="194" spans="1:11" ht="78" x14ac:dyDescent="0.35">
      <c r="A194" s="96">
        <v>191</v>
      </c>
      <c r="B194" s="92" t="inlineStr">
        <is>
          <t xml:space="preserve">Q158-A.6.6</t>
        </is>
      </c>
      <c r="C194" s="93" t="inlineStr">
        <is>
          <t xml:space="preserve">Annex A. 6 People controls</t>
        </is>
      </c>
      <c r="D194" s="100" t="s">
        <v>405</v>
      </c>
      <c r="E194" s="5"/>
      <c r="F194" s="59"/>
      <c r="G194" s="59"/>
      <c r="H194" s="59"/>
      <c r="I194" s="59"/>
      <c r="J194" s="59"/>
      <c r="K194" s="60"/>
    </row>
    <row r="195" spans="1:11" ht="91" x14ac:dyDescent="0.35">
      <c r="A195" s="91">
        <v>192</v>
      </c>
      <c r="B195" s="92" t="inlineStr">
        <is>
          <t xml:space="preserve">Q159-A.6.7</t>
        </is>
      </c>
      <c r="C195" s="93" t="inlineStr">
        <is>
          <t xml:space="preserve">Annex A. 6 People controls</t>
        </is>
      </c>
      <c r="D195" s="100" t="s">
        <v>407</v>
      </c>
      <c r="E195" s="5"/>
      <c r="F195" s="59"/>
      <c r="G195" s="59"/>
      <c r="H195" s="59"/>
      <c r="I195" s="59"/>
      <c r="J195" s="59"/>
      <c r="K195" s="60"/>
    </row>
    <row r="196" spans="1:11" ht="91" x14ac:dyDescent="0.35">
      <c r="A196" s="96">
        <v>193</v>
      </c>
      <c r="B196" s="92" t="inlineStr">
        <is>
          <t xml:space="preserve">Q160-A.6.8</t>
        </is>
      </c>
      <c r="C196" s="93" t="inlineStr">
        <is>
          <t xml:space="preserve">Annex A. 6 People controls</t>
        </is>
      </c>
      <c r="D196" s="76" t="s">
        <v>409</v>
      </c>
      <c r="E196" s="5"/>
      <c r="F196" s="59"/>
      <c r="G196" s="59"/>
      <c r="H196" s="59"/>
      <c r="I196" s="59"/>
      <c r="J196" s="59"/>
      <c r="K196" s="60"/>
    </row>
    <row r="197" spans="1:11" ht="26" x14ac:dyDescent="0.35">
      <c r="A197" s="89">
        <v>194</v>
      </c>
      <c r="B197" s="81" t="s">
        <v>67</v>
      </c>
      <c r="C197" s="82" t="inlineStr">
        <is>
          <t xml:space="preserve">Annex A. 7 Physical controls</t>
        </is>
      </c>
      <c r="D197" s="90" t="s">
        <v>412</v>
      </c>
      <c r="E197" s="117"/>
      <c r="F197" s="111"/>
      <c r="G197" s="109"/>
      <c r="H197" s="109"/>
      <c r="I197" s="109"/>
      <c r="J197" s="109"/>
      <c r="K197" s="110"/>
    </row>
    <row r="198" spans="1:11" ht="78" x14ac:dyDescent="0.35">
      <c r="A198" s="91">
        <v>195</v>
      </c>
      <c r="B198" s="92" t="inlineStr">
        <is>
          <t xml:space="preserve">Q161-A.7.1</t>
        </is>
      </c>
      <c r="C198" s="93" t="inlineStr">
        <is>
          <t xml:space="preserve">Annex A. 7 Physical controls</t>
        </is>
      </c>
      <c r="D198" s="100" t="s">
        <v>414</v>
      </c>
      <c r="E198" s="5"/>
      <c r="F198" s="59"/>
      <c r="G198" s="37"/>
      <c r="H198" s="37"/>
      <c r="I198" s="37"/>
      <c r="J198" s="37"/>
      <c r="K198" s="24"/>
    </row>
    <row r="199" spans="1:11" ht="78" x14ac:dyDescent="0.35">
      <c r="A199" s="96">
        <v>196</v>
      </c>
      <c r="B199" s="92" t="inlineStr">
        <is>
          <t xml:space="preserve">Q162-A.7.2</t>
        </is>
      </c>
      <c r="C199" s="93" t="inlineStr">
        <is>
          <t xml:space="preserve">Annex A. 7 Physical controls</t>
        </is>
      </c>
      <c r="D199" s="76" t="s">
        <v>416</v>
      </c>
      <c r="E199" s="5"/>
      <c r="F199" s="59"/>
      <c r="G199" s="59"/>
      <c r="H199" s="59"/>
      <c r="I199" s="59"/>
      <c r="J199" s="59"/>
      <c r="K199" s="60"/>
    </row>
    <row r="200" spans="1:11" ht="78" x14ac:dyDescent="0.35">
      <c r="A200" s="91">
        <v>197</v>
      </c>
      <c r="B200" s="92" t="inlineStr">
        <is>
          <t xml:space="preserve">Q163-A.7.3</t>
        </is>
      </c>
      <c r="C200" s="93" t="inlineStr">
        <is>
          <t xml:space="preserve">Annex A. 7 Physical controls</t>
        </is>
      </c>
      <c r="D200" s="100" t="s">
        <v>418</v>
      </c>
      <c r="E200" s="5"/>
      <c r="F200" s="59"/>
      <c r="G200" s="59"/>
      <c r="H200" s="59"/>
      <c r="I200" s="59"/>
      <c r="J200" s="59"/>
      <c r="K200" s="60"/>
    </row>
    <row r="201" spans="1:11" ht="65" x14ac:dyDescent="0.35">
      <c r="A201" s="96">
        <v>198</v>
      </c>
      <c r="B201" s="92" t="inlineStr">
        <is>
          <t xml:space="preserve">Q164-A.7.4</t>
        </is>
      </c>
      <c r="C201" s="93" t="inlineStr">
        <is>
          <t xml:space="preserve">Annex A. 7 Physical controls</t>
        </is>
      </c>
      <c r="D201" s="76" t="s">
        <v>420</v>
      </c>
      <c r="E201" s="5"/>
      <c r="F201" s="59"/>
      <c r="G201" s="59"/>
      <c r="H201" s="59"/>
      <c r="I201" s="59"/>
      <c r="J201" s="59"/>
      <c r="K201" s="60"/>
    </row>
    <row r="202" spans="1:11" ht="78" x14ac:dyDescent="0.35">
      <c r="A202" s="91">
        <v>199</v>
      </c>
      <c r="B202" s="92" t="inlineStr">
        <is>
          <t xml:space="preserve">Q165-A.7.5</t>
        </is>
      </c>
      <c r="C202" s="93" t="inlineStr">
        <is>
          <t xml:space="preserve">Annex A. 7 Physical controls</t>
        </is>
      </c>
      <c r="D202" s="76" t="s">
        <v>422</v>
      </c>
      <c r="E202" s="5"/>
      <c r="F202" s="59"/>
      <c r="G202" s="59"/>
      <c r="H202" s="59"/>
      <c r="I202" s="59"/>
      <c r="J202" s="59"/>
      <c r="K202" s="60"/>
    </row>
    <row r="203" spans="1:11" ht="78" x14ac:dyDescent="0.35">
      <c r="A203" s="96">
        <v>200</v>
      </c>
      <c r="B203" s="92" t="inlineStr">
        <is>
          <t xml:space="preserve">Q166-A.7.6</t>
        </is>
      </c>
      <c r="C203" s="93" t="inlineStr">
        <is>
          <t xml:space="preserve">Annex A. 7 Physical controls</t>
        </is>
      </c>
      <c r="D203" s="76" t="s">
        <v>424</v>
      </c>
      <c r="E203" s="5"/>
      <c r="F203" s="59"/>
      <c r="G203" s="59"/>
      <c r="H203" s="59"/>
      <c r="I203" s="59"/>
      <c r="J203" s="59"/>
      <c r="K203" s="60"/>
    </row>
    <row r="204" spans="1:11" ht="78" x14ac:dyDescent="0.35">
      <c r="A204" s="91">
        <v>201</v>
      </c>
      <c r="B204" s="92" t="inlineStr">
        <is>
          <t xml:space="preserve">Q167-A.7.7</t>
        </is>
      </c>
      <c r="C204" s="93" t="inlineStr">
        <is>
          <t xml:space="preserve">Annex A. 7 Physical controls</t>
        </is>
      </c>
      <c r="D204" s="100" t="s">
        <v>426</v>
      </c>
      <c r="E204" s="5"/>
      <c r="F204" s="59"/>
      <c r="G204" s="59"/>
      <c r="H204" s="59"/>
      <c r="I204" s="59"/>
      <c r="J204" s="59"/>
      <c r="K204" s="60"/>
    </row>
    <row r="205" spans="1:11" ht="78" x14ac:dyDescent="0.35">
      <c r="A205" s="96">
        <v>202</v>
      </c>
      <c r="B205" s="92" t="inlineStr">
        <is>
          <t xml:space="preserve">Q168-A.7.8</t>
        </is>
      </c>
      <c r="C205" s="93" t="inlineStr">
        <is>
          <t xml:space="preserve">Annex A. 7 Physical controls</t>
        </is>
      </c>
      <c r="D205" s="100" t="s">
        <v>428</v>
      </c>
      <c r="E205" s="5"/>
      <c r="F205" s="59"/>
      <c r="G205" s="59"/>
      <c r="H205" s="59"/>
      <c r="I205" s="59"/>
      <c r="J205" s="59"/>
      <c r="K205" s="60"/>
    </row>
    <row r="206" spans="1:11" ht="78" x14ac:dyDescent="0.35">
      <c r="A206" s="91">
        <v>203</v>
      </c>
      <c r="B206" s="92" t="inlineStr">
        <is>
          <t xml:space="preserve">Q169-A.7.9</t>
        </is>
      </c>
      <c r="C206" s="93" t="inlineStr">
        <is>
          <t xml:space="preserve">Annex A. 7 Physical controls</t>
        </is>
      </c>
      <c r="D206" s="76" t="s">
        <v>430</v>
      </c>
      <c r="E206" s="5"/>
      <c r="F206" s="59"/>
      <c r="G206" s="59"/>
      <c r="H206" s="59"/>
      <c r="I206" s="59"/>
      <c r="J206" s="59"/>
      <c r="K206" s="60"/>
    </row>
    <row r="207" spans="1:11" ht="65" x14ac:dyDescent="0.35">
      <c r="A207" s="96">
        <v>204</v>
      </c>
      <c r="B207" s="92" t="inlineStr">
        <is>
          <t xml:space="preserve">Q170-A.7.10</t>
        </is>
      </c>
      <c r="C207" s="93" t="inlineStr">
        <is>
          <t xml:space="preserve">Annex A. 7 Physical controls</t>
        </is>
      </c>
      <c r="D207" s="100" t="s">
        <v>432</v>
      </c>
      <c r="E207" s="5"/>
      <c r="F207" s="37"/>
      <c r="G207" s="37"/>
      <c r="H207" s="37"/>
      <c r="I207" s="37"/>
      <c r="J207" s="37"/>
      <c r="K207" s="24"/>
    </row>
    <row r="208" spans="1:11" ht="78" x14ac:dyDescent="0.35">
      <c r="A208" s="91">
        <v>205</v>
      </c>
      <c r="B208" s="92" t="inlineStr">
        <is>
          <t xml:space="preserve">Q171-A.7.11</t>
        </is>
      </c>
      <c r="C208" s="93" t="inlineStr">
        <is>
          <t xml:space="preserve">Annex A. 7 Physical controls</t>
        </is>
      </c>
      <c r="D208" s="100" t="s">
        <v>434</v>
      </c>
      <c r="E208" s="5"/>
      <c r="F208" s="37"/>
      <c r="G208" s="37"/>
      <c r="H208" s="37"/>
      <c r="I208" s="37"/>
      <c r="J208" s="37"/>
      <c r="K208" s="24"/>
    </row>
    <row r="209" spans="1:11" ht="78" x14ac:dyDescent="0.35">
      <c r="A209" s="96">
        <v>206</v>
      </c>
      <c r="B209" s="92" t="inlineStr">
        <is>
          <t xml:space="preserve">Q172-A.7.12</t>
        </is>
      </c>
      <c r="C209" s="93" t="inlineStr">
        <is>
          <t xml:space="preserve">Annex A. 7 Physical controls</t>
        </is>
      </c>
      <c r="D209" s="76" t="s">
        <v>436</v>
      </c>
      <c r="E209" s="5"/>
      <c r="F209" s="37"/>
      <c r="G209" s="37"/>
      <c r="H209" s="37"/>
      <c r="I209" s="37"/>
      <c r="J209" s="37"/>
      <c r="K209" s="24"/>
    </row>
    <row r="210" spans="1:11" ht="91" x14ac:dyDescent="0.35">
      <c r="A210" s="91">
        <v>207</v>
      </c>
      <c r="B210" s="92" t="inlineStr">
        <is>
          <t xml:space="preserve">Q173-A.7.13</t>
        </is>
      </c>
      <c r="C210" s="93" t="inlineStr">
        <is>
          <t xml:space="preserve">Annex A. 7 Physical controls</t>
        </is>
      </c>
      <c r="D210" s="76" t="s">
        <v>438</v>
      </c>
      <c r="E210" s="5"/>
      <c r="F210" s="37"/>
      <c r="G210" s="37"/>
      <c r="H210" s="37"/>
      <c r="I210" s="37"/>
      <c r="J210" s="37"/>
      <c r="K210" s="24"/>
    </row>
    <row r="211" spans="1:11" ht="91" x14ac:dyDescent="0.35">
      <c r="A211" s="96">
        <v>208</v>
      </c>
      <c r="B211" s="92" t="inlineStr">
        <is>
          <t xml:space="preserve">Q174-A.7.14</t>
        </is>
      </c>
      <c r="C211" s="93" t="inlineStr">
        <is>
          <t xml:space="preserve">Annex A. 7 Physical controls</t>
        </is>
      </c>
      <c r="D211" s="100" t="s">
        <v>440</v>
      </c>
      <c r="E211" s="5"/>
      <c r="F211" s="37"/>
      <c r="G211" s="37"/>
      <c r="H211" s="37"/>
      <c r="I211" s="37"/>
      <c r="J211" s="37"/>
      <c r="K211" s="24"/>
    </row>
    <row r="212" spans="1:11" ht="39" x14ac:dyDescent="0.35">
      <c r="A212" s="99">
        <v>209</v>
      </c>
      <c r="B212" s="81" t="s">
        <v>68</v>
      </c>
      <c r="C212" s="82" t="inlineStr">
        <is>
          <t xml:space="preserve">Annex A. 8 Technological controls</t>
        </is>
      </c>
      <c r="D212" s="90" t="s">
        <v>441</v>
      </c>
      <c r="E212" s="117"/>
      <c r="F212" s="109"/>
      <c r="G212" s="109"/>
      <c r="H212" s="109"/>
      <c r="I212" s="109"/>
      <c r="J212" s="109"/>
      <c r="K212" s="110"/>
    </row>
    <row r="213" spans="1:11" ht="78" x14ac:dyDescent="0.35">
      <c r="A213" s="96">
        <v>210</v>
      </c>
      <c r="B213" s="92" t="inlineStr">
        <is>
          <t xml:space="preserve">Q175-A.8.1</t>
        </is>
      </c>
      <c r="C213" s="93" t="inlineStr">
        <is>
          <t xml:space="preserve">Annex A. 8 Technological controls</t>
        </is>
      </c>
      <c r="D213" s="100" t="s">
        <v>443</v>
      </c>
      <c r="E213" s="5"/>
      <c r="F213" s="37"/>
      <c r="G213" s="37"/>
      <c r="H213" s="37"/>
      <c r="I213" s="37"/>
      <c r="J213" s="37"/>
      <c r="K213" s="24"/>
    </row>
    <row r="214" spans="1:11" ht="65" x14ac:dyDescent="0.35">
      <c r="A214" s="91">
        <v>211</v>
      </c>
      <c r="B214" s="92" t="inlineStr">
        <is>
          <t xml:space="preserve">Q176-A.8.2</t>
        </is>
      </c>
      <c r="C214" s="93" t="inlineStr">
        <is>
          <t xml:space="preserve">Annex A. 8 Technological controls</t>
        </is>
      </c>
      <c r="D214" s="76" t="s">
        <v>445</v>
      </c>
      <c r="E214" s="5"/>
      <c r="F214" s="37"/>
      <c r="G214" s="37"/>
      <c r="H214" s="37"/>
      <c r="I214" s="37"/>
      <c r="J214" s="37"/>
      <c r="K214" s="24"/>
    </row>
    <row r="215" spans="1:11" ht="78" x14ac:dyDescent="0.35">
      <c r="A215" s="96">
        <v>212</v>
      </c>
      <c r="B215" s="92" t="inlineStr">
        <is>
          <t xml:space="preserve">Q177-A.8.3</t>
        </is>
      </c>
      <c r="C215" s="93" t="inlineStr">
        <is>
          <t xml:space="preserve">Annex A. 8 Technological controls</t>
        </is>
      </c>
      <c r="D215" s="100" t="s">
        <v>447</v>
      </c>
      <c r="E215" s="5"/>
      <c r="F215" s="37"/>
      <c r="G215" s="37"/>
      <c r="H215" s="37"/>
      <c r="I215" s="37"/>
      <c r="J215" s="37"/>
      <c r="K215" s="24"/>
    </row>
    <row r="216" spans="1:11" ht="91" x14ac:dyDescent="0.35">
      <c r="A216" s="91">
        <v>213</v>
      </c>
      <c r="B216" s="92" t="inlineStr">
        <is>
          <t xml:space="preserve">Q178-A.8.4</t>
        </is>
      </c>
      <c r="C216" s="93" t="inlineStr">
        <is>
          <t xml:space="preserve">Annex A. 8 Technological controls</t>
        </is>
      </c>
      <c r="D216" s="100" t="s">
        <v>449</v>
      </c>
      <c r="E216" s="5"/>
      <c r="F216" s="37"/>
      <c r="G216" s="37"/>
      <c r="H216" s="37"/>
      <c r="I216" s="37"/>
      <c r="J216" s="37"/>
      <c r="K216" s="24"/>
    </row>
    <row r="217" spans="1:11" ht="78" x14ac:dyDescent="0.35">
      <c r="A217" s="96">
        <v>214</v>
      </c>
      <c r="B217" s="92" t="inlineStr">
        <is>
          <t xml:space="preserve">Q179-A.8.5</t>
        </is>
      </c>
      <c r="C217" s="93" t="inlineStr">
        <is>
          <t xml:space="preserve">Annex A. 8 Technological controls</t>
        </is>
      </c>
      <c r="D217" s="100" t="s">
        <v>451</v>
      </c>
      <c r="E217" s="5"/>
      <c r="F217" s="37"/>
      <c r="G217" s="37"/>
      <c r="H217" s="37"/>
      <c r="I217" s="37"/>
      <c r="J217" s="37"/>
      <c r="K217" s="24"/>
    </row>
    <row r="218" spans="1:11" ht="78" x14ac:dyDescent="0.35">
      <c r="A218" s="91">
        <v>215</v>
      </c>
      <c r="B218" s="92" t="inlineStr">
        <is>
          <t xml:space="preserve">Q180-A.8.6</t>
        </is>
      </c>
      <c r="C218" s="93" t="inlineStr">
        <is>
          <t xml:space="preserve">Annex A. 8 Technological controls</t>
        </is>
      </c>
      <c r="D218" s="100" t="s">
        <v>453</v>
      </c>
      <c r="E218" s="5"/>
      <c r="F218" s="37"/>
      <c r="G218" s="37"/>
      <c r="H218" s="37"/>
      <c r="I218" s="37"/>
      <c r="J218" s="37"/>
      <c r="K218" s="24"/>
    </row>
    <row r="219" spans="1:11" ht="91" x14ac:dyDescent="0.35">
      <c r="A219" s="96">
        <v>216</v>
      </c>
      <c r="B219" s="92" t="inlineStr">
        <is>
          <t xml:space="preserve">Q181-A.8.7</t>
        </is>
      </c>
      <c r="C219" s="93" t="inlineStr">
        <is>
          <t xml:space="preserve">Annex A. 8 Technological controls</t>
        </is>
      </c>
      <c r="D219" s="100" t="s">
        <v>455</v>
      </c>
      <c r="E219" s="5"/>
      <c r="F219" s="37"/>
      <c r="G219" s="37"/>
      <c r="H219" s="37"/>
      <c r="I219" s="37"/>
      <c r="J219" s="37"/>
      <c r="K219" s="24"/>
    </row>
    <row r="220" spans="1:11" ht="91" x14ac:dyDescent="0.35">
      <c r="A220" s="91">
        <v>217</v>
      </c>
      <c r="B220" s="92" t="inlineStr">
        <is>
          <t xml:space="preserve">Q182-A.8.8</t>
        </is>
      </c>
      <c r="C220" s="93" t="inlineStr">
        <is>
          <t xml:space="preserve">Annex A. 8 Technological controls</t>
        </is>
      </c>
      <c r="D220" s="100" t="s">
        <v>457</v>
      </c>
      <c r="E220" s="5"/>
      <c r="F220" s="37"/>
      <c r="G220" s="37"/>
      <c r="H220" s="37"/>
      <c r="I220" s="37"/>
      <c r="J220" s="37"/>
      <c r="K220" s="24"/>
    </row>
    <row r="221" spans="1:11" ht="91" x14ac:dyDescent="0.35">
      <c r="A221" s="96">
        <v>218</v>
      </c>
      <c r="B221" s="92" t="inlineStr">
        <is>
          <t xml:space="preserve">Q183-A.8.9</t>
        </is>
      </c>
      <c r="C221" s="93" t="inlineStr">
        <is>
          <t xml:space="preserve">Annex A. 8 Technological controls</t>
        </is>
      </c>
      <c r="D221" s="100" t="s">
        <v>459</v>
      </c>
      <c r="E221" s="5"/>
      <c r="F221" s="37"/>
      <c r="G221" s="37"/>
      <c r="H221" s="37"/>
      <c r="I221" s="37"/>
      <c r="J221" s="37"/>
      <c r="K221" s="24"/>
    </row>
    <row r="222" spans="1:11" ht="78" x14ac:dyDescent="0.35">
      <c r="A222" s="91">
        <v>219</v>
      </c>
      <c r="B222" s="92" t="inlineStr">
        <is>
          <t xml:space="preserve">Q184-A.8.10</t>
        </is>
      </c>
      <c r="C222" s="93" t="inlineStr">
        <is>
          <t xml:space="preserve">Annex A. 8 Technological controls</t>
        </is>
      </c>
      <c r="D222" s="76" t="s">
        <v>461</v>
      </c>
      <c r="E222" s="5"/>
      <c r="F222" s="37"/>
      <c r="G222" s="37"/>
      <c r="H222" s="37"/>
      <c r="I222" s="37"/>
      <c r="J222" s="37"/>
      <c r="K222" s="24"/>
    </row>
    <row r="223" spans="1:11" ht="78" x14ac:dyDescent="0.35">
      <c r="A223" s="96">
        <v>220</v>
      </c>
      <c r="B223" s="92" t="inlineStr">
        <is>
          <t xml:space="preserve">Q185-A.8.11</t>
        </is>
      </c>
      <c r="C223" s="93" t="inlineStr">
        <is>
          <t xml:space="preserve">Annex A. 8 Technological controls</t>
        </is>
      </c>
      <c r="D223" s="100" t="s">
        <v>463</v>
      </c>
      <c r="E223" s="5"/>
      <c r="F223" s="37"/>
      <c r="G223" s="37"/>
      <c r="H223" s="37"/>
      <c r="I223" s="37"/>
      <c r="J223" s="37"/>
      <c r="K223" s="24"/>
    </row>
    <row r="224" spans="1:11" ht="78" x14ac:dyDescent="0.35">
      <c r="A224" s="91">
        <v>221</v>
      </c>
      <c r="B224" s="92" t="inlineStr">
        <is>
          <t xml:space="preserve">Q186-A.8.12</t>
        </is>
      </c>
      <c r="C224" s="93" t="inlineStr">
        <is>
          <t xml:space="preserve">Annex A. 8 Technological controls</t>
        </is>
      </c>
      <c r="D224" s="100" t="s">
        <v>465</v>
      </c>
      <c r="E224" s="5"/>
      <c r="F224" s="37"/>
      <c r="G224" s="37"/>
      <c r="H224" s="37"/>
      <c r="I224" s="37"/>
      <c r="J224" s="37"/>
      <c r="K224" s="24"/>
    </row>
    <row r="225" spans="1:11" ht="78" x14ac:dyDescent="0.35">
      <c r="A225" s="96">
        <v>222</v>
      </c>
      <c r="B225" s="92" t="inlineStr">
        <is>
          <t xml:space="preserve">Q187-A.8.13</t>
        </is>
      </c>
      <c r="C225" s="93" t="inlineStr">
        <is>
          <t xml:space="preserve">Annex A. 8 Technological controls</t>
        </is>
      </c>
      <c r="D225" s="100" t="s">
        <v>467</v>
      </c>
      <c r="E225" s="5"/>
      <c r="F225" s="37"/>
      <c r="G225" s="37"/>
      <c r="H225" s="37"/>
      <c r="I225" s="37"/>
      <c r="J225" s="37"/>
      <c r="K225" s="24"/>
    </row>
    <row r="226" spans="1:11" ht="78" x14ac:dyDescent="0.35">
      <c r="A226" s="91">
        <v>223</v>
      </c>
      <c r="B226" s="92" t="inlineStr">
        <is>
          <t xml:space="preserve">Q188-A.8.14</t>
        </is>
      </c>
      <c r="C226" s="93" t="inlineStr">
        <is>
          <t xml:space="preserve">Annex A. 8 Technological controls</t>
        </is>
      </c>
      <c r="D226" s="100" t="s">
        <v>469</v>
      </c>
      <c r="E226" s="5"/>
      <c r="F226" s="37"/>
      <c r="G226" s="37"/>
      <c r="H226" s="37"/>
      <c r="I226" s="37"/>
      <c r="J226" s="37"/>
      <c r="K226" s="24"/>
    </row>
    <row r="227" spans="1:11" ht="65" x14ac:dyDescent="0.35">
      <c r="A227" s="96">
        <v>224</v>
      </c>
      <c r="B227" s="92" t="inlineStr">
        <is>
          <t xml:space="preserve">Q189-A.8.15</t>
        </is>
      </c>
      <c r="C227" s="93" t="inlineStr">
        <is>
          <t xml:space="preserve">Annex A. 8 Technological controls</t>
        </is>
      </c>
      <c r="D227" s="76" t="s">
        <v>471</v>
      </c>
      <c r="E227" s="5"/>
      <c r="F227" s="37"/>
      <c r="G227" s="37"/>
      <c r="H227" s="37"/>
      <c r="I227" s="37"/>
      <c r="J227" s="37"/>
      <c r="K227" s="24"/>
    </row>
    <row r="228" spans="1:11" ht="78" x14ac:dyDescent="0.35">
      <c r="A228" s="91">
        <v>225</v>
      </c>
      <c r="B228" s="92" t="inlineStr">
        <is>
          <t xml:space="preserve">Q190-A.8.16</t>
        </is>
      </c>
      <c r="C228" s="93" t="inlineStr">
        <is>
          <t xml:space="preserve">Annex A. 8 Technological controls</t>
        </is>
      </c>
      <c r="D228" s="100" t="s">
        <v>473</v>
      </c>
      <c r="E228" s="5"/>
      <c r="F228" s="37"/>
      <c r="G228" s="37"/>
      <c r="H228" s="37"/>
      <c r="I228" s="37"/>
      <c r="J228" s="37"/>
      <c r="K228" s="24"/>
    </row>
    <row r="229" spans="1:11" ht="65" x14ac:dyDescent="0.35">
      <c r="A229" s="96">
        <v>226</v>
      </c>
      <c r="B229" s="92" t="inlineStr">
        <is>
          <t xml:space="preserve">Q191-A.8.17</t>
        </is>
      </c>
      <c r="C229" s="93" t="inlineStr">
        <is>
          <t xml:space="preserve">Annex A. 8 Technological controls</t>
        </is>
      </c>
      <c r="D229" s="76" t="s">
        <v>475</v>
      </c>
      <c r="E229" s="5"/>
      <c r="F229" s="37"/>
      <c r="G229" s="37"/>
      <c r="H229" s="37"/>
      <c r="I229" s="37"/>
      <c r="J229" s="37"/>
      <c r="K229" s="24"/>
    </row>
    <row r="230" spans="1:11" ht="78" x14ac:dyDescent="0.35">
      <c r="A230" s="91">
        <v>227</v>
      </c>
      <c r="B230" s="92" t="inlineStr">
        <is>
          <t xml:space="preserve">Q192-A.8.18</t>
        </is>
      </c>
      <c r="C230" s="93" t="inlineStr">
        <is>
          <t xml:space="preserve">Annex A. 8 Technological controls</t>
        </is>
      </c>
      <c r="D230" s="100" t="s">
        <v>477</v>
      </c>
      <c r="E230" s="5"/>
      <c r="F230" s="37"/>
      <c r="G230" s="37"/>
      <c r="H230" s="37"/>
      <c r="I230" s="37"/>
      <c r="J230" s="37"/>
      <c r="K230" s="24"/>
    </row>
    <row r="231" spans="1:11" ht="91" x14ac:dyDescent="0.35">
      <c r="A231" s="96">
        <v>228</v>
      </c>
      <c r="B231" s="92" t="inlineStr">
        <is>
          <t xml:space="preserve">Q193-A.8.19</t>
        </is>
      </c>
      <c r="C231" s="93" t="inlineStr">
        <is>
          <t xml:space="preserve">Annex A. 8 Technological controls</t>
        </is>
      </c>
      <c r="D231" s="76" t="s">
        <v>479</v>
      </c>
      <c r="E231" s="5"/>
      <c r="F231" s="37"/>
      <c r="G231" s="37"/>
      <c r="H231" s="37"/>
      <c r="I231" s="37"/>
      <c r="J231" s="37"/>
      <c r="K231" s="24"/>
    </row>
    <row r="232" spans="1:11" ht="65" x14ac:dyDescent="0.35">
      <c r="A232" s="91">
        <v>229</v>
      </c>
      <c r="B232" s="92" t="inlineStr">
        <is>
          <t xml:space="preserve">Q194-A.8.20</t>
        </is>
      </c>
      <c r="C232" s="93" t="inlineStr">
        <is>
          <t xml:space="preserve">Annex A. 8 Technological controls</t>
        </is>
      </c>
      <c r="D232" s="76" t="s">
        <v>481</v>
      </c>
      <c r="E232" s="5"/>
      <c r="F232" s="37"/>
      <c r="G232" s="37"/>
      <c r="H232" s="37"/>
      <c r="I232" s="37"/>
      <c r="J232" s="37"/>
      <c r="K232" s="24"/>
    </row>
    <row r="233" spans="1:11" ht="78" x14ac:dyDescent="0.35">
      <c r="A233" s="96">
        <v>230</v>
      </c>
      <c r="B233" s="92" t="inlineStr">
        <is>
          <t xml:space="preserve">Q195-A.8.21</t>
        </is>
      </c>
      <c r="C233" s="93" t="inlineStr">
        <is>
          <t xml:space="preserve">Annex A. 8 Technological controls</t>
        </is>
      </c>
      <c r="D233" s="76" t="s">
        <v>483</v>
      </c>
      <c r="E233" s="5"/>
      <c r="F233" s="37"/>
      <c r="G233" s="37"/>
      <c r="H233" s="37"/>
      <c r="I233" s="37"/>
      <c r="J233" s="37"/>
      <c r="K233" s="24"/>
    </row>
    <row r="234" spans="1:11" ht="91" x14ac:dyDescent="0.35">
      <c r="A234" s="91">
        <v>231</v>
      </c>
      <c r="B234" s="92" t="inlineStr">
        <is>
          <t xml:space="preserve">Q196-A.8.22</t>
        </is>
      </c>
      <c r="C234" s="93" t="inlineStr">
        <is>
          <t xml:space="preserve">Annex A. 8 Technological controls</t>
        </is>
      </c>
      <c r="D234" s="100" t="s">
        <v>485</v>
      </c>
      <c r="E234" s="5"/>
      <c r="F234" s="37"/>
      <c r="G234" s="37"/>
      <c r="H234" s="37"/>
      <c r="I234" s="37"/>
      <c r="J234" s="37"/>
      <c r="K234" s="24"/>
    </row>
    <row r="235" spans="1:11" ht="78" x14ac:dyDescent="0.35">
      <c r="A235" s="96">
        <v>232</v>
      </c>
      <c r="B235" s="92" t="inlineStr">
        <is>
          <t xml:space="preserve">Q197-A.8.23</t>
        </is>
      </c>
      <c r="C235" s="93" t="inlineStr">
        <is>
          <t xml:space="preserve">Annex A. 8 Technological controls</t>
        </is>
      </c>
      <c r="D235" s="76" t="s">
        <v>487</v>
      </c>
      <c r="E235" s="5"/>
      <c r="F235" s="37"/>
      <c r="G235" s="37"/>
      <c r="H235" s="37"/>
      <c r="I235" s="37"/>
      <c r="J235" s="37"/>
      <c r="K235" s="24"/>
    </row>
    <row r="236" spans="1:11" ht="65" x14ac:dyDescent="0.35">
      <c r="A236" s="91">
        <v>233</v>
      </c>
      <c r="B236" s="92" t="inlineStr">
        <is>
          <t xml:space="preserve">Q198-A.8.24</t>
        </is>
      </c>
      <c r="C236" s="93" t="inlineStr">
        <is>
          <t xml:space="preserve">Annex A. 8 Technological controls</t>
        </is>
      </c>
      <c r="D236" s="76" t="s">
        <v>489</v>
      </c>
      <c r="E236" s="5"/>
      <c r="F236" s="37"/>
      <c r="G236" s="37"/>
      <c r="H236" s="37"/>
      <c r="I236" s="37"/>
      <c r="J236" s="37"/>
      <c r="K236" s="24"/>
    </row>
    <row r="237" spans="1:11" ht="78" x14ac:dyDescent="0.35">
      <c r="A237" s="96">
        <v>234</v>
      </c>
      <c r="B237" s="92" t="inlineStr">
        <is>
          <t xml:space="preserve">Q199-A.8.25</t>
        </is>
      </c>
      <c r="C237" s="93" t="inlineStr">
        <is>
          <t xml:space="preserve">Annex A. 8 Technological controls</t>
        </is>
      </c>
      <c r="D237" s="76" t="s">
        <v>491</v>
      </c>
      <c r="E237" s="5"/>
      <c r="F237" s="37"/>
      <c r="G237" s="37"/>
      <c r="H237" s="37"/>
      <c r="I237" s="37"/>
      <c r="J237" s="37"/>
      <c r="K237" s="24"/>
    </row>
    <row r="238" spans="1:11" ht="91" x14ac:dyDescent="0.35">
      <c r="A238" s="91">
        <v>235</v>
      </c>
      <c r="B238" s="92" t="inlineStr">
        <is>
          <t xml:space="preserve">Q200-A.8.26</t>
        </is>
      </c>
      <c r="C238" s="93" t="inlineStr">
        <is>
          <t xml:space="preserve">Annex A. 8 Technological controls</t>
        </is>
      </c>
      <c r="D238" s="100" t="s">
        <v>493</v>
      </c>
      <c r="E238" s="5"/>
      <c r="F238" s="37"/>
      <c r="G238" s="37"/>
      <c r="H238" s="37"/>
      <c r="I238" s="37"/>
      <c r="J238" s="37"/>
      <c r="K238" s="24"/>
    </row>
    <row r="239" spans="1:11" ht="78" x14ac:dyDescent="0.35">
      <c r="A239" s="96">
        <v>236</v>
      </c>
      <c r="B239" s="92" t="inlineStr">
        <is>
          <t xml:space="preserve">Q201-A.8.27</t>
        </is>
      </c>
      <c r="C239" s="93" t="inlineStr">
        <is>
          <t xml:space="preserve">Annex A. 8 Technological controls</t>
        </is>
      </c>
      <c r="D239" s="100" t="s">
        <v>495</v>
      </c>
      <c r="E239" s="5"/>
      <c r="F239" s="37"/>
      <c r="G239" s="37"/>
      <c r="H239" s="37"/>
      <c r="I239" s="37"/>
      <c r="J239" s="37"/>
      <c r="K239" s="24"/>
    </row>
    <row r="240" spans="1:11" ht="65" x14ac:dyDescent="0.35">
      <c r="A240" s="91">
        <v>237</v>
      </c>
      <c r="B240" s="92" t="inlineStr">
        <is>
          <t xml:space="preserve">Q202-A.8.28</t>
        </is>
      </c>
      <c r="C240" s="93" t="inlineStr">
        <is>
          <t xml:space="preserve">Annex A. 8 Technological controls</t>
        </is>
      </c>
      <c r="D240" s="76" t="s">
        <v>497</v>
      </c>
      <c r="E240" s="5"/>
      <c r="F240" s="37"/>
      <c r="G240" s="37"/>
      <c r="H240" s="37"/>
      <c r="I240" s="37"/>
      <c r="J240" s="37"/>
      <c r="K240" s="24"/>
    </row>
    <row r="241" spans="1:11" ht="78" x14ac:dyDescent="0.35">
      <c r="A241" s="96">
        <v>238</v>
      </c>
      <c r="B241" s="92" t="inlineStr">
        <is>
          <t xml:space="preserve">Q203-A.8.29</t>
        </is>
      </c>
      <c r="C241" s="93" t="inlineStr">
        <is>
          <t xml:space="preserve">Annex A. 8 Technological controls</t>
        </is>
      </c>
      <c r="D241" s="100" t="s">
        <v>499</v>
      </c>
      <c r="E241" s="5"/>
      <c r="F241" s="37"/>
      <c r="G241" s="37"/>
      <c r="H241" s="37"/>
      <c r="I241" s="37"/>
      <c r="J241" s="37"/>
      <c r="K241" s="24"/>
    </row>
    <row r="242" spans="1:11" ht="91" x14ac:dyDescent="0.35">
      <c r="A242" s="91">
        <v>239</v>
      </c>
      <c r="B242" s="92" t="inlineStr">
        <is>
          <t xml:space="preserve">Q204-A.8.30</t>
        </is>
      </c>
      <c r="C242" s="93" t="inlineStr">
        <is>
          <t xml:space="preserve">Annex A. 8 Technological controls</t>
        </is>
      </c>
      <c r="D242" s="76" t="s">
        <v>501</v>
      </c>
      <c r="E242" s="5"/>
      <c r="F242" s="37"/>
      <c r="G242" s="37"/>
      <c r="H242" s="37"/>
      <c r="I242" s="37"/>
      <c r="J242" s="37"/>
      <c r="K242" s="24"/>
    </row>
    <row r="243" spans="1:11" ht="78" x14ac:dyDescent="0.35">
      <c r="A243" s="96">
        <v>240</v>
      </c>
      <c r="B243" s="92" t="inlineStr">
        <is>
          <t xml:space="preserve">Q205-A.8.31</t>
        </is>
      </c>
      <c r="C243" s="93" t="inlineStr">
        <is>
          <t xml:space="preserve">Annex A. 8 Technological controls</t>
        </is>
      </c>
      <c r="D243" s="100" t="s">
        <v>503</v>
      </c>
      <c r="E243" s="5"/>
      <c r="F243" s="37"/>
      <c r="G243" s="37"/>
      <c r="H243" s="37"/>
      <c r="I243" s="37"/>
      <c r="J243" s="37"/>
      <c r="K243" s="24"/>
    </row>
    <row r="244" spans="1:11" ht="78" x14ac:dyDescent="0.35">
      <c r="A244" s="91">
        <v>241</v>
      </c>
      <c r="B244" s="92" t="inlineStr">
        <is>
          <t xml:space="preserve">Q206-A.8.32</t>
        </is>
      </c>
      <c r="C244" s="93" t="inlineStr">
        <is>
          <t xml:space="preserve">Annex A. 8 Technological controls</t>
        </is>
      </c>
      <c r="D244" s="100" t="s">
        <v>505</v>
      </c>
      <c r="E244" s="5"/>
      <c r="F244" s="37"/>
      <c r="G244" s="37"/>
      <c r="H244" s="37"/>
      <c r="I244" s="37"/>
      <c r="J244" s="37"/>
      <c r="K244" s="24"/>
    </row>
    <row r="245" spans="1:11" ht="78" x14ac:dyDescent="0.35">
      <c r="A245" s="96">
        <v>242</v>
      </c>
      <c r="B245" s="92" t="inlineStr">
        <is>
          <t xml:space="preserve">Q207-A.8.33</t>
        </is>
      </c>
      <c r="C245" s="93" t="inlineStr">
        <is>
          <t xml:space="preserve">Annex A. 8 Technological controls</t>
        </is>
      </c>
      <c r="D245" s="100" t="s">
        <v>507</v>
      </c>
      <c r="E245" s="5"/>
      <c r="F245" s="37"/>
      <c r="G245" s="37"/>
      <c r="H245" s="37"/>
      <c r="I245" s="37"/>
      <c r="J245" s="37"/>
      <c r="K245" s="24"/>
    </row>
    <row r="246" spans="1:11" ht="78.5" thickBot="1" x14ac:dyDescent="0.4">
      <c r="A246" s="103">
        <v>243</v>
      </c>
      <c r="B246" s="104" t="inlineStr">
        <is>
          <t xml:space="preserve">Q208-A.8.34</t>
        </is>
      </c>
      <c r="C246" s="105" t="inlineStr">
        <is>
          <t xml:space="preserve">Annex A. 8 Technological controls</t>
        </is>
      </c>
      <c r="D246" s="106" t="inlineStr">
        <is>
          <t xml:space="preserve">Are audit tests and other assurance activities on operational systems (such as vulnerability scans or penetration tests) planned and agreed in advance between the tester and appropriate management, so that operations are not compromised?</t>
        </is>
      </c>
      <c r="E246" s="38"/>
      <c r="F246" s="41"/>
      <c r="G246" s="41"/>
      <c r="H246" s="41"/>
      <c r="I246" s="41"/>
      <c r="J246" s="41"/>
      <c r="K246" s="42"/>
    </row>
    <row r="247" spans="1:11" x14ac:dyDescent="0.35">
      <c r="F247" s="49"/>
      <c r="G247" s="48"/>
      <c r="H247" s="48"/>
      <c r="I247" s="48"/>
      <c r="J247" s="48"/>
      <c r="K247" s="48"/>
    </row>
    <row r="248" spans="1:11" x14ac:dyDescent="0.35">
      <c r="F248" s="49"/>
      <c r="G248" s="48"/>
      <c r="H248" s="48"/>
      <c r="I248" s="48"/>
      <c r="J248" s="48"/>
      <c r="K248" s="48"/>
    </row>
    <row r="249" spans="1:11" x14ac:dyDescent="0.35">
      <c r="F249" s="49"/>
      <c r="G249" s="48"/>
      <c r="H249" s="48"/>
      <c r="I249" s="48"/>
      <c r="J249" s="48"/>
      <c r="K249" s="48"/>
    </row>
    <row r="250" spans="1:11" x14ac:dyDescent="0.35">
      <c r="F250" s="49"/>
      <c r="G250" s="48"/>
      <c r="H250" s="48"/>
      <c r="I250" s="48"/>
      <c r="J250" s="48"/>
      <c r="K250" s="48"/>
    </row>
    <row r="251" spans="1:11" x14ac:dyDescent="0.35">
      <c r="F251" s="49"/>
      <c r="G251" s="48"/>
      <c r="H251" s="48"/>
      <c r="I251" s="48"/>
      <c r="J251" s="48"/>
      <c r="K251" s="48"/>
    </row>
    <row r="252" spans="1:11" x14ac:dyDescent="0.35">
      <c r="F252" s="49"/>
      <c r="G252" s="48"/>
      <c r="H252" s="48"/>
      <c r="I252" s="48"/>
      <c r="J252" s="48"/>
      <c r="K252" s="48"/>
    </row>
    <row r="253" spans="1:11" x14ac:dyDescent="0.35">
      <c r="F253" s="49"/>
      <c r="G253" s="48"/>
      <c r="H253" s="48"/>
      <c r="I253" s="48"/>
      <c r="J253" s="48"/>
      <c r="K253" s="48"/>
    </row>
    <row r="254" spans="1:11" x14ac:dyDescent="0.35">
      <c r="F254" s="49"/>
      <c r="G254" s="48"/>
      <c r="H254" s="48"/>
      <c r="I254" s="48"/>
      <c r="J254" s="48"/>
      <c r="K254" s="48"/>
    </row>
    <row r="255" spans="1:11" x14ac:dyDescent="0.35">
      <c r="F255" s="49"/>
      <c r="G255" s="48"/>
      <c r="H255" s="48"/>
      <c r="I255" s="48"/>
      <c r="J255" s="48"/>
      <c r="K255" s="48"/>
    </row>
    <row r="256" spans="1:11" x14ac:dyDescent="0.35">
      <c r="F256" s="49"/>
      <c r="G256" s="48"/>
      <c r="H256" s="48"/>
      <c r="I256" s="48"/>
      <c r="J256" s="48"/>
      <c r="K256" s="48"/>
    </row>
    <row r="257" spans="1:11" x14ac:dyDescent="0.35">
      <c r="F257" s="49"/>
      <c r="G257" s="48"/>
      <c r="H257" s="48"/>
      <c r="I257" s="48"/>
      <c r="J257" s="48"/>
      <c r="K257" s="48"/>
    </row>
    <row r="258" spans="1:11" x14ac:dyDescent="0.35">
      <c r="F258" s="49"/>
      <c r="G258" s="48"/>
      <c r="H258" s="48"/>
      <c r="I258" s="48"/>
      <c r="J258" s="48"/>
      <c r="K258" s="48"/>
    </row>
    <row r="259" spans="6:11" x14ac:dyDescent="0.35">
      <c r="F259" s="49"/>
      <c r="G259" s="48"/>
      <c r="H259" s="48"/>
      <c r="I259" s="48"/>
      <c r="J259" s="48"/>
      <c r="K259" s="48"/>
    </row>
    <row r="260" spans="6:11" x14ac:dyDescent="0.35">
      <c r="F260" s="49"/>
      <c r="G260" s="48"/>
      <c r="H260" s="48"/>
      <c r="I260" s="48"/>
      <c r="J260" s="48"/>
      <c r="K260" s="48"/>
    </row>
    <row r="261" spans="6:11" x14ac:dyDescent="0.35">
      <c r="F261" s="49"/>
      <c r="G261" s="48"/>
      <c r="H261" s="48"/>
      <c r="I261" s="48"/>
      <c r="J261" s="48"/>
      <c r="K261" s="48"/>
    </row>
    <row r="262" spans="6:11" x14ac:dyDescent="0.35">
      <c r="F262" s="49"/>
      <c r="G262" s="48"/>
      <c r="H262" s="48"/>
      <c r="I262" s="48"/>
      <c r="J262" s="48"/>
      <c r="K262" s="48"/>
    </row>
    <row r="263" spans="6:11" x14ac:dyDescent="0.35">
      <c r="F263" s="49"/>
      <c r="G263" s="48"/>
      <c r="H263" s="48"/>
      <c r="I263" s="48"/>
      <c r="J263" s="48"/>
      <c r="K263" s="48"/>
    </row>
    <row r="264" spans="6:11" x14ac:dyDescent="0.35">
      <c r="F264" s="49"/>
      <c r="G264" s="48"/>
      <c r="H264" s="48"/>
      <c r="I264" s="48"/>
      <c r="J264" s="48"/>
      <c r="K264" s="48"/>
    </row>
    <row r="265" spans="6:11" x14ac:dyDescent="0.35">
      <c r="F265" s="49"/>
      <c r="G265" s="48"/>
      <c r="H265" s="48"/>
      <c r="I265" s="48"/>
      <c r="J265" s="48"/>
      <c r="K265" s="48"/>
    </row>
    <row r="266" spans="6:11" x14ac:dyDescent="0.35">
      <c r="F266" s="49"/>
      <c r="G266" s="48"/>
      <c r="H266" s="48"/>
      <c r="I266" s="48"/>
      <c r="J266" s="48"/>
      <c r="K266" s="48"/>
    </row>
    <row r="267" spans="6:11" x14ac:dyDescent="0.35">
      <c r="F267" s="49"/>
      <c r="G267" s="48"/>
      <c r="H267" s="48"/>
      <c r="I267" s="48"/>
      <c r="J267" s="48"/>
      <c r="K267" s="48"/>
    </row>
    <row r="268" spans="6:11" x14ac:dyDescent="0.35">
      <c r="F268" s="49"/>
      <c r="G268" s="48"/>
      <c r="H268" s="48"/>
      <c r="I268" s="48"/>
      <c r="J268" s="48"/>
      <c r="K268" s="48"/>
    </row>
    <row r="269" spans="6:11" x14ac:dyDescent="0.35">
      <c r="F269" s="49"/>
      <c r="G269" s="48"/>
      <c r="H269" s="48"/>
      <c r="I269" s="48"/>
      <c r="J269" s="48"/>
      <c r="K269" s="48"/>
    </row>
    <row r="270" spans="6:11" x14ac:dyDescent="0.35">
      <c r="F270" s="49"/>
      <c r="G270" s="48"/>
      <c r="H270" s="48"/>
      <c r="I270" s="48"/>
      <c r="J270" s="48"/>
      <c r="K270" s="48"/>
    </row>
    <row r="271" spans="6:11" x14ac:dyDescent="0.35">
      <c r="F271" s="49"/>
      <c r="G271" s="48"/>
      <c r="H271" s="48"/>
      <c r="I271" s="48"/>
      <c r="J271" s="48"/>
      <c r="K271" s="48"/>
    </row>
    <row r="272" spans="6:11" x14ac:dyDescent="0.35">
      <c r="F272" s="49"/>
      <c r="G272" s="48"/>
      <c r="H272" s="48"/>
      <c r="I272" s="48"/>
      <c r="J272" s="48"/>
      <c r="K272" s="48"/>
    </row>
    <row r="273" spans="6:11" x14ac:dyDescent="0.35">
      <c r="F273" s="49"/>
      <c r="G273" s="48"/>
      <c r="H273" s="48"/>
      <c r="I273" s="48"/>
      <c r="J273" s="48"/>
      <c r="K273" s="48"/>
    </row>
    <row r="274" spans="6:11" x14ac:dyDescent="0.35">
      <c r="F274" s="49"/>
      <c r="G274" s="48"/>
      <c r="H274" s="48"/>
      <c r="I274" s="48"/>
      <c r="J274" s="48"/>
      <c r="K274" s="48"/>
    </row>
    <row r="275" spans="6:11" x14ac:dyDescent="0.35">
      <c r="F275" s="49"/>
      <c r="G275" s="48"/>
      <c r="H275" s="48"/>
      <c r="I275" s="48"/>
      <c r="J275" s="48"/>
      <c r="K275" s="48"/>
    </row>
    <row r="276" spans="6:11" x14ac:dyDescent="0.35">
      <c r="F276" s="49"/>
      <c r="G276" s="48"/>
      <c r="H276" s="48"/>
      <c r="I276" s="48"/>
      <c r="J276" s="48"/>
      <c r="K276" s="48"/>
    </row>
    <row r="277" spans="6:11" x14ac:dyDescent="0.35">
      <c r="F277" s="49"/>
      <c r="G277" s="48"/>
      <c r="H277" s="48"/>
      <c r="I277" s="48"/>
      <c r="J277" s="48"/>
      <c r="K277" s="48"/>
    </row>
    <row r="278" spans="6:11" x14ac:dyDescent="0.35">
      <c r="F278" s="49"/>
      <c r="G278" s="48"/>
      <c r="H278" s="48"/>
      <c r="I278" s="48"/>
      <c r="J278" s="48"/>
      <c r="K278" s="48"/>
    </row>
    <row r="279" spans="6:11" x14ac:dyDescent="0.35">
      <c r="F279" s="49"/>
      <c r="G279" s="48"/>
      <c r="H279" s="48"/>
      <c r="I279" s="48"/>
      <c r="J279" s="48"/>
      <c r="K279" s="48"/>
    </row>
    <row r="280" spans="6:11" x14ac:dyDescent="0.35">
      <c r="F280" s="49"/>
      <c r="G280" s="48"/>
      <c r="H280" s="48"/>
      <c r="I280" s="48"/>
      <c r="J280" s="48"/>
      <c r="K280" s="48"/>
    </row>
    <row r="281" spans="6:11" x14ac:dyDescent="0.35">
      <c r="F281" s="49"/>
      <c r="G281" s="48"/>
      <c r="H281" s="48"/>
      <c r="I281" s="48"/>
      <c r="J281" s="48"/>
      <c r="K281" s="48"/>
    </row>
  </sheetData>
  <autoFilter ref="A3:K246" xr:uid="{00000000-0001-0000-0200-000000000000}"/>
  <dataConsolidate/>
  <mergeCells count="1">
    <mergeCell ref="A1:K2"/>
  </mergeCells>
  <phoneticPr fontId="9" type="noConversion"/>
  <dataValidations count="1">
    <dataValidation type="list" allowBlank="1" showInputMessage="1" showErrorMessage="1" sqref="E4:E318">
      <formula1>'Findings Criteria'!$B$7:$B$9</formula1>
    </dataValidation>
  </dataValidations>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ontainsText" priority="8" operator="containsText" id="{8F860675-203B-494F-AC18-7E487EC3DB0B}">
            <xm:f>NOT(ISERROR(SEARCH('Findings Criteria'!$B$9,A3)))</xm:f>
            <xm:f>'Findings Criteria'!$B$9</xm:f>
            <x14:dxf>
              <fill>
                <patternFill>
                  <bgColor rgb="FFFF0000"/>
                </patternFill>
              </fill>
            </x14:dxf>
          </x14:cfRule>
          <x14:cfRule type="containsText" priority="9" operator="containsText" id="{D998A285-7F49-4143-BD87-087B6B6294E4}">
            <xm:f>NOT(ISERROR(SEARCH('Findings Criteria'!$B$8,A3)))</xm:f>
            <xm:f>'Findings Criteria'!$B$8</xm:f>
            <x14:dxf>
              <fill>
                <patternFill>
                  <bgColor rgb="FFFFC000"/>
                </patternFill>
              </fill>
            </x14:dxf>
          </x14:cfRule>
          <xm:sqref>A3:A1048576</xm:sqref>
        </x14:conditionalFormatting>
        <x14:conditionalFormatting xmlns:xm="http://schemas.microsoft.com/office/excel/2006/main">
          <x14:cfRule type="containsText" priority="1" operator="containsText" id="{C9FB7737-8D18-4735-9E86-0019F9A5BCDF}">
            <xm:f>NOT(ISERROR(SEARCH('Findings Criteria'!$B$9,E4)))</xm:f>
            <xm:f>'Findings Criteria'!$B$9</xm:f>
            <x14:dxf>
              <fill>
                <patternFill>
                  <bgColor rgb="FFFF0000"/>
                </patternFill>
              </fill>
            </x14:dxf>
          </x14:cfRule>
          <x14:cfRule type="containsText" priority="2" operator="containsText" id="{0C76A0C4-D4F9-47B4-A7DE-33E10A4935E5}">
            <xm:f>NOT(ISERROR(SEARCH('Findings Criteria'!$B$8,E4)))</xm:f>
            <xm:f>'Findings Criteria'!$B$8</xm:f>
            <x14:dxf>
              <fill>
                <patternFill>
                  <bgColor rgb="FFFFC000"/>
                </patternFill>
              </fill>
            </x14:dxf>
          </x14:cfRule>
          <x14:cfRule type="containsText" priority="3" operator="containsText" id="{AD5CA8FD-DD2F-434D-B3E8-E347CA377AB5}">
            <xm:f>NOT(ISERROR(SEARCH('Findings Criteria'!$B$7,E4)))</xm:f>
            <xm:f>'Findings Criteria'!$B$7</xm:f>
            <x14:dxf>
              <fill>
                <patternFill>
                  <bgColor rgb="FF00B050"/>
                </patternFill>
              </fill>
            </x14:dxf>
          </x14:cfRule>
          <xm:sqref>E4:E266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46"/>
  <sheetViews>
    <sheetView tabSelected="1" zoomScale="60" zoomScaleNormal="60" zoomScaleSheetLayoutView="70" workbookViewId="0">
      <selection activeCell="F196" sqref="F196"/>
    </sheetView>
  </sheetViews>
  <sheetFormatPr defaultColWidth="9.1796875" defaultRowHeight="15.5" x14ac:dyDescent="0.35"/>
  <cols>
    <col min="1" max="1" width="7.81640625" style="125" customWidth="1"/>
    <col min="2" max="2" width="30" style="125" customWidth="1"/>
    <col min="3" max="3" width="17.54296875" style="129" customWidth="1"/>
    <col min="4" max="4" width="45.81640625" style="2" customWidth="1"/>
    <col min="5" max="5" width="11" style="3" customWidth="1"/>
    <col min="6" max="6" width="34.453125" style="1" customWidth="1"/>
    <col min="7" max="7" width="25.81640625" style="1" bestFit="1" customWidth="1"/>
    <col min="8" max="8" width="21.1796875" style="1" bestFit="1" customWidth="1"/>
    <col min="9" max="9" width="16.54296875" style="1" customWidth="1"/>
    <col min="10" max="10" width="21.453125" style="1" bestFit="1" customWidth="1"/>
    <col min="11" max="11" width="17.1796875" style="3" bestFit="1" customWidth="1"/>
    <col min="12" max="12" width="15.453125" style="1" customWidth="1"/>
    <col min="13" max="13" width="28.1796875" style="1" customWidth="1"/>
    <col min="14" max="16384" width="9.1796875" style="1"/>
  </cols>
  <sheetData>
    <row r="1" spans="1:13" ht="48" customHeight="1" x14ac:dyDescent="0.35">
      <c r="A1" s="165"/>
      <c r="B1" s="165"/>
      <c r="C1" s="159" t="s">
        <v>511</v>
      </c>
      <c r="D1" s="167"/>
      <c r="E1" s="167"/>
      <c r="F1" s="167"/>
      <c r="G1" s="167"/>
      <c r="H1" s="167"/>
      <c r="I1" s="167"/>
      <c r="J1" s="167"/>
      <c r="K1" s="167"/>
      <c r="L1" s="167"/>
      <c r="M1" s="167"/>
    </row>
    <row r="2" spans="1:13" ht="32.5" customHeight="1" thickBot="1" x14ac:dyDescent="0.4">
      <c r="A2" s="166"/>
      <c r="B2" s="166"/>
      <c r="C2" s="168"/>
      <c r="D2" s="169"/>
      <c r="E2" s="169"/>
      <c r="F2" s="169"/>
      <c r="G2" s="169"/>
      <c r="H2" s="169"/>
      <c r="I2" s="169"/>
      <c r="J2" s="169"/>
      <c r="K2" s="169"/>
      <c r="L2" s="169"/>
      <c r="M2" s="169"/>
    </row>
    <row r="3" spans="1:13" customFormat="1" ht="33" customHeight="1" thickBot="1" x14ac:dyDescent="0.4">
      <c r="A3" s="121" t="s">
        <v>8</v>
      </c>
      <c r="B3" s="121" t="s">
        <v>9</v>
      </c>
      <c r="C3" s="126" t="s">
        <v>10</v>
      </c>
      <c r="D3" s="67" t="s">
        <v>25</v>
      </c>
      <c r="E3" s="67" t="inlineStr">
        <is>
          <t xml:space="preserve">Rating</t>
        </is>
      </c>
      <c r="F3" s="67" t="inlineStr">
        <is>
          <t xml:space="preserve">Proposed remedial action (Partially implemented or Not implemented)</t>
        </is>
      </c>
      <c r="G3" s="67" t="s">
        <v>27</v>
      </c>
      <c r="H3" s="67" t="s">
        <v>28</v>
      </c>
      <c r="I3" s="67" t="s">
        <v>29</v>
      </c>
      <c r="J3" s="67" t="s">
        <v>30</v>
      </c>
      <c r="K3" s="67" t="s">
        <v>31</v>
      </c>
      <c r="L3" s="67" t="s">
        <v>32</v>
      </c>
      <c r="M3" s="67" t="s">
        <v>33</v>
      </c>
    </row>
    <row r="4" spans="1:13" ht="26" x14ac:dyDescent="0.35">
      <c r="A4" s="122">
        <v>1</v>
      </c>
      <c r="B4" s="123" cm="1" t="str">
        <f t="array" ref="B4:C246">_xlfn._xlws.FILTER('Gap Analysis Checklist'!B4:C1864,'Gap Analysis Checklist'!B4:B1864&lt;&gt;"")</f>
        <v/>
      </c>
      <c r="C4" s="127" t="str">
        <v>4. Context of the organization</v>
      </c>
      <c r="D4" s="8" cm="1" t="str">
        <f t="array" ref="D4:D246">_xlfn._xlws.FILTER(IF('Gap Analysis Checklist'!$E$4:$E$1864='Findings Criteria'!$B$8,'Gap Analysis Checklist'!$H$4:$H$1864&amp;"",IF('Gap Analysis Checklist'!$E$4:$E$1864='Findings Criteria'!$B$9,'Gap Analysis Checklist'!$J$4:$J$1864&amp;"","")),'Gap Analysis Checklist'!$B$4:$B$1864&lt;&gt;"")</f>
        <v/>
      </c>
      <c r="E4" s="8" cm="1" t="str">
        <f t="array" ref="E4:E246">_xlfn._xlws.FILTER('Gap Analysis Checklist'!$E$4:$E$1864&amp;"",'Gap Analysis Checklist'!$B$4:$B$1864&lt;&gt;"")</f>
        <v/>
      </c>
      <c r="F4" s="8" cm="1" t="str">
        <f t="array" ref="F4:F246">_xlfn._xlws.FILTER(IF('Gap Analysis Checklist'!$E$4:$E$1864='Findings Criteria'!$B$8,'Gap Analysis Checklist'!$I$4:$I$1864&amp;"",IF('Gap Analysis Checklist'!$E$4:$E$1864='Findings Criteria'!$B$9,'Gap Analysis Checklist'!$K$4:$K$1864&amp;"","")),'Gap Analysis Checklist'!$B$4:$B$1864&lt;&gt;"")</f>
        <v/>
      </c>
      <c r="G4" s="8"/>
      <c r="H4" s="8"/>
      <c r="I4" s="27"/>
      <c r="J4" s="27"/>
      <c r="K4" s="61">
        <v>0</v>
      </c>
      <c r="L4" s="8"/>
      <c r="M4" s="9"/>
    </row>
    <row r="5" spans="1:13" ht="26" x14ac:dyDescent="0.35">
      <c r="A5" s="94">
        <v>2</v>
      </c>
      <c r="B5" s="124"/>
      <c r="C5" s="128"/>
      <c r="D5" s="7"/>
      <c r="E5" s="8"/>
      <c r="F5" s="7"/>
      <c r="G5" s="7"/>
      <c r="H5" s="7"/>
      <c r="I5" s="27"/>
      <c r="J5" s="27"/>
      <c r="K5" s="61">
        <v>0</v>
      </c>
      <c r="L5" s="8"/>
      <c r="M5" s="10"/>
    </row>
    <row r="6" spans="1:13" ht="26" x14ac:dyDescent="0.35">
      <c r="A6" s="94">
        <v>3</v>
      </c>
      <c r="B6" s="124"/>
      <c r="C6" s="128"/>
      <c r="D6" s="7"/>
      <c r="E6" s="8"/>
      <c r="F6" s="7"/>
      <c r="G6" s="7"/>
      <c r="H6" s="7"/>
      <c r="I6" s="27"/>
      <c r="J6" s="27"/>
      <c r="K6" s="61">
        <v>0</v>
      </c>
      <c r="L6" s="8"/>
      <c r="M6" s="10"/>
    </row>
    <row r="7" spans="1:13" ht="26" x14ac:dyDescent="0.35">
      <c r="A7" s="94">
        <v>4</v>
      </c>
      <c r="B7" s="124"/>
      <c r="C7" s="128"/>
      <c r="D7" s="7"/>
      <c r="E7" s="8"/>
      <c r="F7" s="7"/>
      <c r="G7" s="7"/>
      <c r="H7" s="7"/>
      <c r="I7" s="27"/>
      <c r="J7" s="27"/>
      <c r="K7" s="61">
        <v>0</v>
      </c>
      <c r="L7" s="8"/>
      <c r="M7" s="10"/>
    </row>
    <row r="8" spans="1:13" ht="26" x14ac:dyDescent="0.35">
      <c r="A8" s="94">
        <v>5</v>
      </c>
      <c r="B8" s="124"/>
      <c r="C8" s="128"/>
      <c r="D8" s="7"/>
      <c r="E8" s="8"/>
      <c r="F8" s="7"/>
      <c r="G8" s="7"/>
      <c r="H8" s="7"/>
      <c r="I8" s="28"/>
      <c r="J8" s="27"/>
      <c r="K8" s="61">
        <v>0</v>
      </c>
      <c r="L8" s="8"/>
      <c r="M8" s="10"/>
    </row>
    <row r="9" spans="1:13" ht="26" x14ac:dyDescent="0.35">
      <c r="A9" s="94">
        <v>6</v>
      </c>
      <c r="B9" s="124"/>
      <c r="C9" s="128"/>
      <c r="D9" s="7"/>
      <c r="E9" s="8"/>
      <c r="F9" s="7"/>
      <c r="G9" s="7"/>
      <c r="H9" s="7"/>
      <c r="I9" s="28"/>
      <c r="J9" s="27"/>
      <c r="K9" s="61">
        <v>0</v>
      </c>
      <c r="L9" s="8"/>
      <c r="M9" s="10"/>
    </row>
    <row r="10" spans="1:13" ht="26" x14ac:dyDescent="0.35">
      <c r="A10" s="94">
        <v>7</v>
      </c>
      <c r="B10" s="124"/>
      <c r="C10" s="128"/>
      <c r="D10" s="7"/>
      <c r="E10" s="8"/>
      <c r="F10" s="7"/>
      <c r="G10" s="7"/>
      <c r="H10" s="7"/>
      <c r="I10" s="27"/>
      <c r="J10" s="27"/>
      <c r="K10" s="61">
        <v>0</v>
      </c>
      <c r="L10" s="8"/>
      <c r="M10" s="10"/>
    </row>
    <row r="11" spans="1:13" ht="26" x14ac:dyDescent="0.35">
      <c r="A11" s="94">
        <v>8</v>
      </c>
      <c r="B11" s="124"/>
      <c r="C11" s="128"/>
      <c r="D11" s="7"/>
      <c r="E11" s="8"/>
      <c r="F11" s="7"/>
      <c r="G11" s="7"/>
      <c r="H11" s="7"/>
      <c r="I11" s="27"/>
      <c r="J11" s="27"/>
      <c r="K11" s="61">
        <v>0</v>
      </c>
      <c r="L11" s="8"/>
      <c r="M11" s="10"/>
    </row>
    <row r="12" spans="1:13" ht="26" x14ac:dyDescent="0.35">
      <c r="A12" s="94">
        <v>9</v>
      </c>
      <c r="B12" s="124"/>
      <c r="C12" s="128"/>
      <c r="D12" s="7"/>
      <c r="E12" s="8"/>
      <c r="F12" s="7"/>
      <c r="G12" s="7"/>
      <c r="H12" s="7"/>
      <c r="I12" s="27"/>
      <c r="J12" s="27"/>
      <c r="K12" s="61">
        <v>0</v>
      </c>
      <c r="L12" s="8"/>
      <c r="M12" s="10"/>
    </row>
    <row r="13" spans="1:13" ht="26" x14ac:dyDescent="0.35">
      <c r="A13" s="94">
        <v>10</v>
      </c>
      <c r="B13" s="124"/>
      <c r="C13" s="128"/>
      <c r="D13" s="7"/>
      <c r="E13" s="8"/>
      <c r="F13" s="7"/>
      <c r="G13" s="7"/>
      <c r="H13" s="7"/>
      <c r="I13" s="27"/>
      <c r="J13" s="27"/>
      <c r="K13" s="61">
        <v>0</v>
      </c>
      <c r="L13" s="8"/>
      <c r="M13" s="10"/>
    </row>
    <row r="14" spans="1:13" ht="26" x14ac:dyDescent="0.35">
      <c r="A14" s="94">
        <v>11</v>
      </c>
      <c r="B14" s="124"/>
      <c r="C14" s="128"/>
      <c r="D14" s="7"/>
      <c r="E14" s="8"/>
      <c r="F14" s="7"/>
      <c r="G14" s="7"/>
      <c r="H14" s="7"/>
      <c r="I14" s="27"/>
      <c r="J14" s="27"/>
      <c r="K14" s="61">
        <v>0</v>
      </c>
      <c r="L14" s="8"/>
      <c r="M14" s="10"/>
    </row>
    <row r="15" spans="1:13" ht="26" x14ac:dyDescent="0.35">
      <c r="A15" s="94">
        <v>12</v>
      </c>
      <c r="B15" s="124"/>
      <c r="C15" s="128"/>
      <c r="D15" s="7"/>
      <c r="E15" s="8"/>
      <c r="F15" s="7"/>
      <c r="G15" s="7"/>
      <c r="H15" s="7"/>
      <c r="I15" s="27"/>
      <c r="J15" s="27"/>
      <c r="K15" s="61">
        <v>0</v>
      </c>
      <c r="L15" s="8"/>
      <c r="M15" s="10"/>
    </row>
    <row r="16" spans="1:13" ht="26" x14ac:dyDescent="0.35">
      <c r="A16" s="94">
        <v>13</v>
      </c>
      <c r="B16" s="124"/>
      <c r="C16" s="128"/>
      <c r="D16" s="7"/>
      <c r="E16" s="8"/>
      <c r="F16" s="7"/>
      <c r="G16" s="7"/>
      <c r="H16" s="7"/>
      <c r="I16" s="27"/>
      <c r="J16" s="27"/>
      <c r="K16" s="61">
        <v>0</v>
      </c>
      <c r="L16" s="8"/>
      <c r="M16" s="10"/>
    </row>
    <row r="17" spans="1:13" ht="26" x14ac:dyDescent="0.35">
      <c r="A17" s="94">
        <v>14</v>
      </c>
      <c r="B17" s="124"/>
      <c r="C17" s="128"/>
      <c r="D17" s="7"/>
      <c r="E17" s="8"/>
      <c r="F17" s="7"/>
      <c r="G17" s="7"/>
      <c r="H17" s="7"/>
      <c r="I17" s="27"/>
      <c r="J17" s="27"/>
      <c r="K17" s="61">
        <v>0</v>
      </c>
      <c r="L17" s="8"/>
      <c r="M17" s="10"/>
    </row>
    <row r="18" spans="1:13" ht="26" x14ac:dyDescent="0.35">
      <c r="A18" s="94">
        <v>15</v>
      </c>
      <c r="B18" s="124"/>
      <c r="C18" s="128"/>
      <c r="D18" s="7"/>
      <c r="E18" s="8"/>
      <c r="F18" s="7"/>
      <c r="G18" s="7"/>
      <c r="H18" s="7"/>
      <c r="I18" s="27"/>
      <c r="J18" s="27"/>
      <c r="K18" s="61">
        <v>0</v>
      </c>
      <c r="L18" s="8"/>
      <c r="M18" s="10"/>
    </row>
    <row r="19" spans="1:13" x14ac:dyDescent="0.35">
      <c r="A19" s="94">
        <v>16</v>
      </c>
      <c r="B19" s="124"/>
      <c r="C19" s="128"/>
      <c r="D19" s="7"/>
      <c r="E19" s="8"/>
      <c r="F19" s="7"/>
      <c r="G19" s="7"/>
      <c r="H19" s="7"/>
      <c r="I19" s="28"/>
      <c r="J19" s="27"/>
      <c r="K19" s="61">
        <v>0</v>
      </c>
      <c r="L19" s="8"/>
      <c r="M19" s="10"/>
    </row>
    <row r="20" spans="1:13" x14ac:dyDescent="0.35">
      <c r="A20" s="94">
        <v>17</v>
      </c>
      <c r="B20" s="124"/>
      <c r="C20" s="128"/>
      <c r="D20" s="7"/>
      <c r="E20" s="8"/>
      <c r="F20" s="7"/>
      <c r="G20" s="7"/>
      <c r="H20" s="7"/>
      <c r="I20" s="27"/>
      <c r="J20" s="27"/>
      <c r="K20" s="61">
        <v>0</v>
      </c>
      <c r="L20" s="8"/>
      <c r="M20" s="10"/>
    </row>
    <row r="21" spans="1:13" x14ac:dyDescent="0.35">
      <c r="A21" s="94">
        <v>18</v>
      </c>
      <c r="B21" s="124"/>
      <c r="C21" s="128"/>
      <c r="D21" s="7"/>
      <c r="E21" s="8"/>
      <c r="F21" s="7"/>
      <c r="G21" s="7"/>
      <c r="H21" s="7"/>
      <c r="I21" s="27"/>
      <c r="J21" s="27"/>
      <c r="K21" s="61">
        <v>0</v>
      </c>
      <c r="L21" s="8"/>
      <c r="M21" s="10"/>
    </row>
    <row r="22" spans="1:13" x14ac:dyDescent="0.35">
      <c r="A22" s="94">
        <v>19</v>
      </c>
      <c r="B22" s="124"/>
      <c r="C22" s="128"/>
      <c r="D22" s="7"/>
      <c r="E22" s="8"/>
      <c r="F22" s="7"/>
      <c r="G22" s="7"/>
      <c r="H22" s="7"/>
      <c r="I22" s="27"/>
      <c r="J22" s="27"/>
      <c r="K22" s="61">
        <v>0</v>
      </c>
      <c r="L22" s="8"/>
      <c r="M22" s="10"/>
    </row>
    <row r="23" spans="1:13" x14ac:dyDescent="0.35">
      <c r="A23" s="94">
        <v>20</v>
      </c>
      <c r="B23" s="124"/>
      <c r="C23" s="128"/>
      <c r="D23" s="7"/>
      <c r="E23" s="8"/>
      <c r="F23" s="7"/>
      <c r="G23" s="7"/>
      <c r="H23" s="7"/>
      <c r="I23" s="27"/>
      <c r="J23" s="27"/>
      <c r="K23" s="61">
        <v>0</v>
      </c>
      <c r="L23" s="8"/>
      <c r="M23" s="10"/>
    </row>
    <row r="24" spans="1:13" x14ac:dyDescent="0.35">
      <c r="A24" s="94">
        <v>21</v>
      </c>
      <c r="B24" s="124"/>
      <c r="C24" s="128"/>
      <c r="D24" s="7"/>
      <c r="E24" s="8"/>
      <c r="F24" s="7"/>
      <c r="G24" s="7"/>
      <c r="H24" s="7"/>
      <c r="I24" s="27"/>
      <c r="J24" s="27"/>
      <c r="K24" s="61">
        <v>0</v>
      </c>
      <c r="L24" s="8"/>
      <c r="M24" s="10"/>
    </row>
    <row r="25" spans="1:13" x14ac:dyDescent="0.35">
      <c r="A25" s="94">
        <v>22</v>
      </c>
      <c r="B25" s="124"/>
      <c r="C25" s="128"/>
      <c r="D25" s="7"/>
      <c r="E25" s="8"/>
      <c r="F25" s="7"/>
      <c r="G25" s="7"/>
      <c r="H25" s="7"/>
      <c r="I25" s="27"/>
      <c r="J25" s="27"/>
      <c r="K25" s="61">
        <v>0</v>
      </c>
      <c r="L25" s="8"/>
      <c r="M25" s="10"/>
    </row>
    <row r="26" spans="1:13" x14ac:dyDescent="0.35">
      <c r="A26" s="94">
        <v>23</v>
      </c>
      <c r="B26" s="124"/>
      <c r="C26" s="128"/>
      <c r="D26" s="7"/>
      <c r="E26" s="8"/>
      <c r="F26" s="7"/>
      <c r="G26" s="7"/>
      <c r="H26" s="7"/>
      <c r="I26" s="27"/>
      <c r="J26" s="27"/>
      <c r="K26" s="61">
        <v>0</v>
      </c>
      <c r="L26" s="8"/>
      <c r="M26" s="10"/>
    </row>
    <row r="27" spans="1:13" x14ac:dyDescent="0.35">
      <c r="A27" s="94">
        <v>24</v>
      </c>
      <c r="B27" s="124"/>
      <c r="C27" s="128"/>
      <c r="D27" s="7"/>
      <c r="E27" s="8"/>
      <c r="F27" s="7"/>
      <c r="G27" s="7"/>
      <c r="H27" s="7"/>
      <c r="I27" s="27"/>
      <c r="J27" s="27"/>
      <c r="K27" s="61">
        <v>0</v>
      </c>
      <c r="L27" s="8"/>
      <c r="M27" s="10"/>
    </row>
    <row r="28" spans="1:13" x14ac:dyDescent="0.35">
      <c r="A28" s="94">
        <v>25</v>
      </c>
      <c r="B28" s="124"/>
      <c r="C28" s="128"/>
      <c r="D28" s="7"/>
      <c r="E28" s="8"/>
      <c r="F28" s="7"/>
      <c r="G28" s="7"/>
      <c r="H28" s="7"/>
      <c r="I28" s="27"/>
      <c r="J28" s="27"/>
      <c r="K28" s="61">
        <v>0</v>
      </c>
      <c r="L28" s="8"/>
      <c r="M28" s="10"/>
    </row>
    <row r="29" spans="1:13" x14ac:dyDescent="0.35">
      <c r="A29" s="94">
        <v>26</v>
      </c>
      <c r="B29" s="124"/>
      <c r="C29" s="128"/>
      <c r="D29" s="7"/>
      <c r="E29" s="8"/>
      <c r="F29" s="7"/>
      <c r="G29" s="7"/>
      <c r="H29" s="7"/>
      <c r="I29" s="27"/>
      <c r="J29" s="27"/>
      <c r="K29" s="61">
        <v>0</v>
      </c>
      <c r="L29" s="8"/>
      <c r="M29" s="10"/>
    </row>
    <row r="30" spans="1:13" x14ac:dyDescent="0.35">
      <c r="A30" s="94">
        <v>27</v>
      </c>
      <c r="B30" s="124"/>
      <c r="C30" s="128"/>
      <c r="D30" s="7"/>
      <c r="E30" s="8"/>
      <c r="F30" s="7"/>
      <c r="G30" s="7"/>
      <c r="H30" s="7"/>
      <c r="I30" s="27"/>
      <c r="J30" s="27"/>
      <c r="K30" s="61">
        <v>0</v>
      </c>
      <c r="L30" s="8"/>
      <c r="M30" s="10"/>
    </row>
    <row r="31" spans="1:13" x14ac:dyDescent="0.35">
      <c r="A31" s="94">
        <v>28</v>
      </c>
      <c r="B31" s="124"/>
      <c r="C31" s="128"/>
      <c r="D31" s="7"/>
      <c r="E31" s="8"/>
      <c r="F31" s="7"/>
      <c r="G31" s="7"/>
      <c r="H31" s="7"/>
      <c r="I31" s="27"/>
      <c r="J31" s="27"/>
      <c r="K31" s="61">
        <v>0</v>
      </c>
      <c r="L31" s="8"/>
      <c r="M31" s="10"/>
    </row>
    <row r="32" spans="1:13" x14ac:dyDescent="0.35">
      <c r="A32" s="94">
        <v>29</v>
      </c>
      <c r="B32" s="124"/>
      <c r="C32" s="128"/>
      <c r="D32" s="7"/>
      <c r="E32" s="8"/>
      <c r="F32" s="7"/>
      <c r="G32" s="7"/>
      <c r="H32" s="7"/>
      <c r="I32" s="27"/>
      <c r="J32" s="27"/>
      <c r="K32" s="61">
        <v>0</v>
      </c>
      <c r="L32" s="8"/>
      <c r="M32" s="10"/>
    </row>
    <row r="33" spans="1:13" x14ac:dyDescent="0.35">
      <c r="A33" s="94">
        <v>30</v>
      </c>
      <c r="B33" s="124"/>
      <c r="C33" s="128"/>
      <c r="D33" s="7"/>
      <c r="E33" s="8"/>
      <c r="F33" s="7"/>
      <c r="G33" s="7"/>
      <c r="H33" s="7"/>
      <c r="I33" s="27"/>
      <c r="J33" s="27"/>
      <c r="K33" s="61">
        <v>0</v>
      </c>
      <c r="L33" s="8"/>
      <c r="M33" s="10"/>
    </row>
    <row r="34" spans="1:13" x14ac:dyDescent="0.35">
      <c r="A34" s="94">
        <v>31</v>
      </c>
      <c r="B34" s="124"/>
      <c r="C34" s="128"/>
      <c r="D34" s="7"/>
      <c r="E34" s="8"/>
      <c r="F34" s="7"/>
      <c r="G34" s="7"/>
      <c r="H34" s="7"/>
      <c r="I34" s="27"/>
      <c r="J34" s="27"/>
      <c r="K34" s="61">
        <v>0</v>
      </c>
      <c r="L34" s="8"/>
      <c r="M34" s="10"/>
    </row>
    <row r="35" spans="1:13" x14ac:dyDescent="0.35">
      <c r="A35" s="94">
        <v>32</v>
      </c>
      <c r="B35" s="124"/>
      <c r="C35" s="128"/>
      <c r="D35" s="7"/>
      <c r="E35" s="8"/>
      <c r="F35" s="7"/>
      <c r="G35" s="7"/>
      <c r="H35" s="7"/>
      <c r="I35" s="27"/>
      <c r="J35" s="27"/>
      <c r="K35" s="61">
        <v>0</v>
      </c>
      <c r="L35" s="8"/>
      <c r="M35" s="10"/>
    </row>
    <row r="36" spans="1:13" x14ac:dyDescent="0.35">
      <c r="A36" s="94">
        <v>33</v>
      </c>
      <c r="B36" s="124"/>
      <c r="C36" s="128"/>
      <c r="D36" s="7"/>
      <c r="E36" s="8"/>
      <c r="F36" s="7"/>
      <c r="G36" s="7"/>
      <c r="H36" s="7"/>
      <c r="I36" s="27"/>
      <c r="J36" s="27"/>
      <c r="K36" s="61">
        <v>0</v>
      </c>
      <c r="L36" s="8"/>
      <c r="M36" s="10"/>
    </row>
    <row r="37" spans="1:13" x14ac:dyDescent="0.35">
      <c r="A37" s="94">
        <v>34</v>
      </c>
      <c r="B37" s="124"/>
      <c r="C37" s="128"/>
      <c r="D37" s="7"/>
      <c r="E37" s="8"/>
      <c r="F37" s="7"/>
      <c r="G37" s="7"/>
      <c r="H37" s="7"/>
      <c r="I37" s="27"/>
      <c r="J37" s="27"/>
      <c r="K37" s="61">
        <v>0</v>
      </c>
      <c r="L37" s="8"/>
      <c r="M37" s="10"/>
    </row>
    <row r="38" spans="1:13" x14ac:dyDescent="0.35">
      <c r="A38" s="94">
        <v>35</v>
      </c>
      <c r="B38" s="124"/>
      <c r="C38" s="128"/>
      <c r="D38" s="7"/>
      <c r="E38" s="8"/>
      <c r="F38" s="7"/>
      <c r="G38" s="7"/>
      <c r="H38" s="7"/>
      <c r="I38" s="27"/>
      <c r="J38" s="27"/>
      <c r="K38" s="61">
        <v>0</v>
      </c>
      <c r="L38" s="8"/>
      <c r="M38" s="10"/>
    </row>
    <row r="39" spans="1:13" x14ac:dyDescent="0.35">
      <c r="A39" s="94">
        <v>36</v>
      </c>
      <c r="B39" s="124"/>
      <c r="C39" s="128"/>
      <c r="D39" s="7"/>
      <c r="E39" s="8"/>
      <c r="F39" s="11"/>
      <c r="G39" s="11"/>
      <c r="H39" s="11"/>
      <c r="I39" s="28"/>
      <c r="J39" s="27"/>
      <c r="K39" s="61">
        <v>0</v>
      </c>
      <c r="L39" s="8"/>
      <c r="M39" s="10"/>
    </row>
    <row r="40" spans="1:13" x14ac:dyDescent="0.35">
      <c r="A40" s="94">
        <v>37</v>
      </c>
      <c r="B40" s="124"/>
      <c r="C40" s="128"/>
      <c r="D40" s="7"/>
      <c r="E40" s="8"/>
      <c r="F40" s="7"/>
      <c r="G40" s="12"/>
      <c r="H40" s="11"/>
      <c r="I40" s="27"/>
      <c r="J40" s="27"/>
      <c r="K40" s="61">
        <v>0</v>
      </c>
      <c r="L40" s="8"/>
      <c r="M40" s="10"/>
    </row>
    <row r="41" spans="1:13" x14ac:dyDescent="0.35">
      <c r="A41" s="94">
        <v>38</v>
      </c>
      <c r="B41" s="124"/>
      <c r="C41" s="128"/>
      <c r="D41" s="7"/>
      <c r="E41" s="8"/>
      <c r="F41" s="7"/>
      <c r="G41" s="7"/>
      <c r="H41" s="7"/>
      <c r="I41" s="27"/>
      <c r="J41" s="27"/>
      <c r="K41" s="61">
        <v>0</v>
      </c>
      <c r="L41" s="8"/>
      <c r="M41" s="10"/>
    </row>
    <row r="42" spans="1:13" x14ac:dyDescent="0.35">
      <c r="A42" s="94">
        <v>39</v>
      </c>
      <c r="B42" s="124"/>
      <c r="C42" s="128"/>
      <c r="D42" s="7"/>
      <c r="E42" s="8"/>
      <c r="F42" s="7"/>
      <c r="G42" s="7"/>
      <c r="H42" s="7"/>
      <c r="I42" s="27"/>
      <c r="J42" s="27"/>
      <c r="K42" s="61">
        <v>0</v>
      </c>
      <c r="L42" s="8"/>
      <c r="M42" s="10"/>
    </row>
    <row r="43" spans="1:13" x14ac:dyDescent="0.35">
      <c r="A43" s="94">
        <v>40</v>
      </c>
      <c r="B43" s="124"/>
      <c r="C43" s="128"/>
      <c r="D43" s="7"/>
      <c r="E43" s="8"/>
      <c r="F43" s="7"/>
      <c r="G43" s="7"/>
      <c r="H43" s="11"/>
      <c r="I43" s="27"/>
      <c r="J43" s="27"/>
      <c r="K43" s="61">
        <v>0</v>
      </c>
      <c r="L43" s="8"/>
      <c r="M43" s="10"/>
    </row>
    <row r="44" spans="1:13" x14ac:dyDescent="0.35">
      <c r="A44" s="94">
        <v>41</v>
      </c>
      <c r="B44" s="124"/>
      <c r="C44" s="128"/>
      <c r="D44" s="7"/>
      <c r="E44" s="8"/>
      <c r="F44" s="7"/>
      <c r="G44" s="7"/>
      <c r="H44" s="7"/>
      <c r="I44" s="27"/>
      <c r="J44" s="27"/>
      <c r="K44" s="61">
        <v>0</v>
      </c>
      <c r="L44" s="8"/>
      <c r="M44" s="10"/>
    </row>
    <row r="45" spans="1:13" x14ac:dyDescent="0.35">
      <c r="A45" s="94">
        <v>42</v>
      </c>
      <c r="B45" s="124"/>
      <c r="C45" s="128"/>
      <c r="D45" s="7"/>
      <c r="E45" s="8"/>
      <c r="F45" s="7"/>
      <c r="G45" s="7"/>
      <c r="H45" s="11"/>
      <c r="I45" s="27"/>
      <c r="J45" s="27"/>
      <c r="K45" s="61">
        <v>0</v>
      </c>
      <c r="L45" s="8"/>
      <c r="M45" s="10"/>
    </row>
    <row r="46" spans="1:13" x14ac:dyDescent="0.35">
      <c r="A46" s="94">
        <v>43</v>
      </c>
      <c r="B46" s="124"/>
      <c r="C46" s="128"/>
      <c r="D46" s="7"/>
      <c r="E46" s="8"/>
      <c r="F46" s="7"/>
      <c r="G46" s="7"/>
      <c r="H46" s="7"/>
      <c r="I46" s="27"/>
      <c r="J46" s="27"/>
      <c r="K46" s="61">
        <v>0</v>
      </c>
      <c r="L46" s="8"/>
      <c r="M46" s="10"/>
    </row>
    <row r="47" spans="1:13" x14ac:dyDescent="0.35">
      <c r="A47" s="94">
        <v>44</v>
      </c>
      <c r="B47" s="124"/>
      <c r="C47" s="128"/>
      <c r="D47" s="7"/>
      <c r="E47" s="8"/>
      <c r="F47" s="7"/>
      <c r="G47" s="7"/>
      <c r="H47" s="11"/>
      <c r="I47" s="27"/>
      <c r="J47" s="27"/>
      <c r="K47" s="61">
        <v>0</v>
      </c>
      <c r="L47" s="8"/>
      <c r="M47" s="10"/>
    </row>
    <row r="48" spans="1:13" x14ac:dyDescent="0.35">
      <c r="A48" s="94">
        <v>45</v>
      </c>
      <c r="B48" s="124"/>
      <c r="C48" s="128"/>
      <c r="D48" s="7"/>
      <c r="E48" s="8"/>
      <c r="F48" s="7"/>
      <c r="G48" s="7"/>
      <c r="H48" s="11"/>
      <c r="I48" s="27"/>
      <c r="J48" s="27"/>
      <c r="K48" s="61">
        <v>0</v>
      </c>
      <c r="L48" s="8"/>
      <c r="M48" s="10"/>
    </row>
    <row r="49" spans="1:13" x14ac:dyDescent="0.35">
      <c r="A49" s="94">
        <v>46</v>
      </c>
      <c r="B49" s="124"/>
      <c r="C49" s="128"/>
      <c r="D49" s="7"/>
      <c r="E49" s="8"/>
      <c r="F49" s="7"/>
      <c r="G49" s="7"/>
      <c r="H49" s="11"/>
      <c r="I49" s="27"/>
      <c r="J49" s="27"/>
      <c r="K49" s="61">
        <v>0</v>
      </c>
      <c r="L49" s="8"/>
      <c r="M49" s="10"/>
    </row>
    <row r="50" spans="1:13" x14ac:dyDescent="0.35">
      <c r="A50" s="94">
        <v>47</v>
      </c>
      <c r="B50" s="124"/>
      <c r="C50" s="128"/>
      <c r="D50" s="7"/>
      <c r="E50" s="8"/>
      <c r="F50" s="7"/>
      <c r="G50" s="7"/>
      <c r="H50" s="7"/>
      <c r="I50" s="27"/>
      <c r="J50" s="27"/>
      <c r="K50" s="61">
        <v>0</v>
      </c>
      <c r="L50" s="8"/>
      <c r="M50" s="10"/>
    </row>
    <row r="51" spans="1:13" x14ac:dyDescent="0.35">
      <c r="A51" s="94">
        <v>48</v>
      </c>
      <c r="B51" s="124"/>
      <c r="C51" s="128"/>
      <c r="D51" s="7"/>
      <c r="E51" s="8"/>
      <c r="F51" s="7"/>
      <c r="G51" s="7"/>
      <c r="H51" s="11"/>
      <c r="I51" s="27"/>
      <c r="J51" s="27"/>
      <c r="K51" s="61">
        <v>0</v>
      </c>
      <c r="L51" s="8"/>
      <c r="M51" s="10"/>
    </row>
    <row r="52" spans="1:13" x14ac:dyDescent="0.35">
      <c r="A52" s="94">
        <v>49</v>
      </c>
      <c r="B52" s="124"/>
      <c r="C52" s="128"/>
      <c r="D52" s="11"/>
      <c r="E52" s="8"/>
      <c r="F52" s="7"/>
      <c r="G52" s="7"/>
      <c r="H52" s="11"/>
      <c r="I52" s="27"/>
      <c r="J52" s="27"/>
      <c r="K52" s="61">
        <v>0</v>
      </c>
      <c r="L52" s="8"/>
      <c r="M52" s="10"/>
    </row>
    <row r="53" spans="1:13" x14ac:dyDescent="0.35">
      <c r="A53" s="94">
        <v>50</v>
      </c>
      <c r="B53" s="124"/>
      <c r="C53" s="128"/>
      <c r="D53" s="7"/>
      <c r="E53" s="8"/>
      <c r="F53" s="7"/>
      <c r="G53" s="7"/>
      <c r="H53" s="7"/>
      <c r="I53" s="27"/>
      <c r="J53" s="27"/>
      <c r="K53" s="61">
        <v>0</v>
      </c>
      <c r="L53" s="8"/>
      <c r="M53" s="10"/>
    </row>
    <row r="54" spans="1:13" x14ac:dyDescent="0.35">
      <c r="A54" s="94">
        <v>51</v>
      </c>
      <c r="B54" s="124"/>
      <c r="C54" s="128"/>
      <c r="D54" s="7"/>
      <c r="E54" s="8"/>
      <c r="F54" s="7"/>
      <c r="G54" s="7"/>
      <c r="H54" s="11"/>
      <c r="I54" s="27"/>
      <c r="J54" s="27"/>
      <c r="K54" s="61">
        <v>0</v>
      </c>
      <c r="L54" s="8"/>
      <c r="M54" s="10"/>
    </row>
    <row r="55" spans="1:13" x14ac:dyDescent="0.35">
      <c r="A55" s="94">
        <v>52</v>
      </c>
      <c r="B55" s="124"/>
      <c r="C55" s="128"/>
      <c r="D55" s="7"/>
      <c r="E55" s="8"/>
      <c r="F55" s="7"/>
      <c r="G55" s="7"/>
      <c r="H55" s="7"/>
      <c r="I55" s="27"/>
      <c r="J55" s="27"/>
      <c r="K55" s="61">
        <v>0</v>
      </c>
      <c r="L55" s="8"/>
      <c r="M55" s="10"/>
    </row>
    <row r="56" spans="1:13" x14ac:dyDescent="0.35">
      <c r="A56" s="94">
        <v>53</v>
      </c>
      <c r="B56" s="124"/>
      <c r="C56" s="128"/>
      <c r="D56" s="7"/>
      <c r="E56" s="8"/>
      <c r="F56" s="11"/>
      <c r="G56" s="11"/>
      <c r="H56" s="11"/>
      <c r="I56" s="27"/>
      <c r="J56" s="27"/>
      <c r="K56" s="61">
        <v>0</v>
      </c>
      <c r="L56" s="8"/>
      <c r="M56" s="10"/>
    </row>
    <row r="57" spans="1:13" x14ac:dyDescent="0.35">
      <c r="A57" s="94">
        <v>54</v>
      </c>
      <c r="B57" s="124"/>
      <c r="C57" s="128"/>
      <c r="D57" s="7"/>
      <c r="E57" s="8"/>
      <c r="F57" s="7"/>
      <c r="G57" s="7"/>
      <c r="H57" s="7"/>
      <c r="I57" s="27"/>
      <c r="J57" s="27"/>
      <c r="K57" s="61">
        <v>0</v>
      </c>
      <c r="L57" s="8"/>
      <c r="M57" s="10"/>
    </row>
    <row r="58" spans="1:13" x14ac:dyDescent="0.35">
      <c r="A58" s="94">
        <v>55</v>
      </c>
      <c r="B58" s="124"/>
      <c r="C58" s="128"/>
      <c r="D58" s="7"/>
      <c r="E58" s="8"/>
      <c r="F58" s="7"/>
      <c r="G58" s="7"/>
      <c r="H58" s="7"/>
      <c r="I58" s="27"/>
      <c r="J58" s="27"/>
      <c r="K58" s="61">
        <v>0</v>
      </c>
      <c r="L58" s="8"/>
      <c r="M58" s="10"/>
    </row>
    <row r="59" spans="1:13" x14ac:dyDescent="0.35">
      <c r="A59" s="94">
        <v>56</v>
      </c>
      <c r="B59" s="124"/>
      <c r="C59" s="128"/>
      <c r="D59" s="7"/>
      <c r="E59" s="8"/>
      <c r="F59" s="7"/>
      <c r="G59" s="7"/>
      <c r="H59" s="7"/>
      <c r="I59" s="27"/>
      <c r="J59" s="27"/>
      <c r="K59" s="61">
        <v>0</v>
      </c>
      <c r="L59" s="8"/>
      <c r="M59" s="10"/>
    </row>
    <row r="60" spans="1:13" x14ac:dyDescent="0.35">
      <c r="A60" s="94">
        <v>57</v>
      </c>
      <c r="B60" s="124"/>
      <c r="C60" s="128"/>
      <c r="D60" s="7"/>
      <c r="E60" s="8"/>
      <c r="F60" s="7"/>
      <c r="G60" s="7"/>
      <c r="H60" s="7"/>
      <c r="I60" s="27"/>
      <c r="J60" s="27"/>
      <c r="K60" s="61">
        <v>0</v>
      </c>
      <c r="L60" s="8"/>
      <c r="M60" s="10"/>
    </row>
    <row r="61" spans="1:13" x14ac:dyDescent="0.35">
      <c r="A61" s="94">
        <v>58</v>
      </c>
      <c r="B61" s="124"/>
      <c r="C61" s="128"/>
      <c r="D61" s="7"/>
      <c r="E61" s="8"/>
      <c r="F61" s="7"/>
      <c r="G61" s="7"/>
      <c r="H61" s="7"/>
      <c r="I61" s="27"/>
      <c r="J61" s="27"/>
      <c r="K61" s="61">
        <v>0</v>
      </c>
      <c r="L61" s="8"/>
      <c r="M61" s="10"/>
    </row>
    <row r="62" spans="1:13" x14ac:dyDescent="0.35">
      <c r="A62" s="94">
        <v>59</v>
      </c>
      <c r="B62" s="124"/>
      <c r="C62" s="128"/>
      <c r="D62" s="7"/>
      <c r="E62" s="8"/>
      <c r="F62" s="11"/>
      <c r="G62" s="11"/>
      <c r="H62" s="7"/>
      <c r="I62" s="27"/>
      <c r="J62" s="27"/>
      <c r="K62" s="61">
        <v>0</v>
      </c>
      <c r="L62" s="8"/>
      <c r="M62" s="10"/>
    </row>
    <row r="63" spans="1:13" x14ac:dyDescent="0.35">
      <c r="A63" s="94">
        <v>60</v>
      </c>
      <c r="B63" s="124"/>
      <c r="C63" s="128"/>
      <c r="D63" s="7"/>
      <c r="E63" s="8"/>
      <c r="F63" s="7"/>
      <c r="G63" s="7"/>
      <c r="H63" s="7"/>
      <c r="I63" s="27"/>
      <c r="J63" s="27"/>
      <c r="K63" s="61">
        <v>0</v>
      </c>
      <c r="L63" s="8"/>
      <c r="M63" s="10"/>
    </row>
    <row r="64" spans="1:13" x14ac:dyDescent="0.35">
      <c r="A64" s="94">
        <v>61</v>
      </c>
      <c r="B64" s="124"/>
      <c r="C64" s="128"/>
      <c r="D64" s="7"/>
      <c r="E64" s="8"/>
      <c r="F64" s="7"/>
      <c r="G64" s="7"/>
      <c r="H64" s="7"/>
      <c r="I64" s="27"/>
      <c r="J64" s="27"/>
      <c r="K64" s="61">
        <v>0</v>
      </c>
      <c r="L64" s="8"/>
      <c r="M64" s="10"/>
    </row>
    <row r="65" spans="1:13" x14ac:dyDescent="0.35">
      <c r="A65" s="94">
        <v>62</v>
      </c>
      <c r="B65" s="124"/>
      <c r="C65" s="128"/>
      <c r="D65" s="7"/>
      <c r="E65" s="8"/>
      <c r="F65" s="7"/>
      <c r="G65" s="7"/>
      <c r="H65" s="7"/>
      <c r="I65" s="27"/>
      <c r="J65" s="27"/>
      <c r="K65" s="61">
        <v>0</v>
      </c>
      <c r="L65" s="8"/>
      <c r="M65" s="10"/>
    </row>
    <row r="66" spans="1:13" x14ac:dyDescent="0.35">
      <c r="A66" s="94">
        <v>63</v>
      </c>
      <c r="B66" s="124"/>
      <c r="C66" s="128"/>
      <c r="D66" s="7"/>
      <c r="E66" s="8"/>
      <c r="F66" s="7"/>
      <c r="G66" s="7"/>
      <c r="H66" s="7"/>
      <c r="I66" s="27"/>
      <c r="J66" s="27"/>
      <c r="K66" s="61">
        <v>0</v>
      </c>
      <c r="L66" s="8"/>
      <c r="M66" s="10"/>
    </row>
    <row r="67" spans="1:13" x14ac:dyDescent="0.35">
      <c r="A67" s="94">
        <v>64</v>
      </c>
      <c r="B67" s="124"/>
      <c r="C67" s="128"/>
      <c r="D67" s="7"/>
      <c r="E67" s="8"/>
      <c r="F67" s="7"/>
      <c r="G67" s="7"/>
      <c r="H67" s="7"/>
      <c r="I67" s="27"/>
      <c r="J67" s="27"/>
      <c r="K67" s="61">
        <v>0</v>
      </c>
      <c r="L67" s="8"/>
      <c r="M67" s="10"/>
    </row>
    <row r="68" spans="1:13" x14ac:dyDescent="0.35">
      <c r="A68" s="94">
        <v>65</v>
      </c>
      <c r="B68" s="124"/>
      <c r="C68" s="128"/>
      <c r="D68" s="7"/>
      <c r="E68" s="8"/>
      <c r="F68" s="7"/>
      <c r="G68" s="7"/>
      <c r="H68" s="7"/>
      <c r="I68" s="27"/>
      <c r="J68" s="27"/>
      <c r="K68" s="61">
        <v>0</v>
      </c>
      <c r="L68" s="8"/>
      <c r="M68" s="10"/>
    </row>
    <row r="69" spans="1:13" x14ac:dyDescent="0.35">
      <c r="A69" s="94">
        <v>66</v>
      </c>
      <c r="B69" s="124"/>
      <c r="C69" s="128"/>
      <c r="D69" s="7"/>
      <c r="E69" s="8"/>
      <c r="F69" s="7"/>
      <c r="G69" s="7"/>
      <c r="H69" s="7"/>
      <c r="I69" s="27"/>
      <c r="J69" s="27"/>
      <c r="K69" s="61">
        <v>0</v>
      </c>
      <c r="L69" s="8"/>
      <c r="M69" s="10"/>
    </row>
    <row r="70" spans="1:13" x14ac:dyDescent="0.35">
      <c r="A70" s="94">
        <v>67</v>
      </c>
      <c r="B70" s="124"/>
      <c r="C70" s="128"/>
      <c r="D70" s="7"/>
      <c r="E70" s="8"/>
      <c r="F70" s="7"/>
      <c r="G70" s="7"/>
      <c r="H70" s="7"/>
      <c r="I70" s="27"/>
      <c r="J70" s="27"/>
      <c r="K70" s="61">
        <v>0</v>
      </c>
      <c r="L70" s="8"/>
      <c r="M70" s="10"/>
    </row>
    <row r="71" spans="1:13" x14ac:dyDescent="0.35">
      <c r="A71" s="94">
        <v>68</v>
      </c>
      <c r="B71" s="124"/>
      <c r="C71" s="128"/>
      <c r="D71" s="7"/>
      <c r="E71" s="8"/>
      <c r="F71" s="7"/>
      <c r="G71" s="7"/>
      <c r="H71" s="7"/>
      <c r="I71" s="27"/>
      <c r="J71" s="27"/>
      <c r="K71" s="61">
        <v>0</v>
      </c>
      <c r="L71" s="8"/>
      <c r="M71" s="10"/>
    </row>
    <row r="72" spans="1:13" x14ac:dyDescent="0.35">
      <c r="A72" s="94">
        <v>69</v>
      </c>
      <c r="B72" s="124"/>
      <c r="C72" s="128"/>
      <c r="D72" s="7"/>
      <c r="E72" s="8"/>
      <c r="F72" s="7"/>
      <c r="G72" s="7"/>
      <c r="H72" s="7"/>
      <c r="I72" s="27"/>
      <c r="J72" s="27"/>
      <c r="K72" s="61">
        <v>0</v>
      </c>
      <c r="L72" s="8"/>
      <c r="M72" s="10"/>
    </row>
    <row r="73" spans="1:13" x14ac:dyDescent="0.35">
      <c r="A73" s="94">
        <v>70</v>
      </c>
      <c r="B73" s="124"/>
      <c r="C73" s="128"/>
      <c r="D73" s="7"/>
      <c r="E73" s="8"/>
      <c r="F73" s="7"/>
      <c r="G73" s="7"/>
      <c r="H73" s="7"/>
      <c r="I73" s="27"/>
      <c r="J73" s="27"/>
      <c r="K73" s="61">
        <v>0</v>
      </c>
      <c r="L73" s="8"/>
      <c r="M73" s="10"/>
    </row>
    <row r="74" spans="1:13" x14ac:dyDescent="0.35">
      <c r="A74" s="94">
        <v>71</v>
      </c>
      <c r="B74" s="124"/>
      <c r="C74" s="128"/>
      <c r="D74" s="7"/>
      <c r="E74" s="8"/>
      <c r="F74" s="7"/>
      <c r="G74" s="7"/>
      <c r="H74" s="7"/>
      <c r="I74" s="27"/>
      <c r="J74" s="27"/>
      <c r="K74" s="61">
        <v>0</v>
      </c>
      <c r="L74" s="8"/>
      <c r="M74" s="10"/>
    </row>
    <row r="75" spans="1:13" x14ac:dyDescent="0.35">
      <c r="A75" s="94">
        <v>72</v>
      </c>
      <c r="B75" s="124"/>
      <c r="C75" s="128"/>
      <c r="D75" s="7"/>
      <c r="E75" s="8"/>
      <c r="F75" s="11"/>
      <c r="G75" s="11"/>
      <c r="H75" s="7"/>
      <c r="I75" s="27"/>
      <c r="J75" s="27"/>
      <c r="K75" s="61">
        <v>0</v>
      </c>
      <c r="L75" s="8"/>
      <c r="M75" s="10"/>
    </row>
    <row r="76" spans="1:13" x14ac:dyDescent="0.35">
      <c r="A76" s="94">
        <v>73</v>
      </c>
      <c r="B76" s="124"/>
      <c r="C76" s="128"/>
      <c r="D76" s="7"/>
      <c r="E76" s="8"/>
      <c r="F76" s="7"/>
      <c r="G76" s="7"/>
      <c r="H76" s="7"/>
      <c r="I76" s="27"/>
      <c r="J76" s="27"/>
      <c r="K76" s="61">
        <v>0</v>
      </c>
      <c r="L76" s="8"/>
      <c r="M76" s="10"/>
    </row>
    <row r="77" spans="1:13" x14ac:dyDescent="0.35">
      <c r="A77" s="94">
        <v>74</v>
      </c>
      <c r="B77" s="124"/>
      <c r="C77" s="128"/>
      <c r="D77" s="7"/>
      <c r="E77" s="8"/>
      <c r="F77" s="7"/>
      <c r="G77" s="7"/>
      <c r="H77" s="11"/>
      <c r="I77" s="27"/>
      <c r="J77" s="27"/>
      <c r="K77" s="61">
        <v>0</v>
      </c>
      <c r="L77" s="8"/>
      <c r="M77" s="10"/>
    </row>
    <row r="78" spans="1:13" x14ac:dyDescent="0.35">
      <c r="A78" s="94">
        <v>75</v>
      </c>
      <c r="B78" s="124"/>
      <c r="C78" s="128"/>
      <c r="D78" s="7"/>
      <c r="E78" s="8"/>
      <c r="F78" s="7"/>
      <c r="G78" s="7"/>
      <c r="H78" s="7"/>
      <c r="I78" s="27"/>
      <c r="J78" s="27"/>
      <c r="K78" s="61">
        <v>0</v>
      </c>
      <c r="L78" s="8"/>
      <c r="M78" s="10"/>
    </row>
    <row r="79" spans="1:13" x14ac:dyDescent="0.35">
      <c r="A79" s="94">
        <v>76</v>
      </c>
      <c r="B79" s="124"/>
      <c r="C79" s="128"/>
      <c r="D79" s="7"/>
      <c r="E79" s="8"/>
      <c r="F79" s="7"/>
      <c r="G79" s="7"/>
      <c r="H79" s="7"/>
      <c r="I79" s="27"/>
      <c r="J79" s="27"/>
      <c r="K79" s="61">
        <v>0</v>
      </c>
      <c r="L79" s="8"/>
      <c r="M79" s="10"/>
    </row>
    <row r="80" spans="1:13" x14ac:dyDescent="0.35">
      <c r="A80" s="94">
        <v>77</v>
      </c>
      <c r="B80" s="124"/>
      <c r="C80" s="128"/>
      <c r="D80" s="7"/>
      <c r="E80" s="8"/>
      <c r="F80" s="7"/>
      <c r="G80" s="7"/>
      <c r="H80" s="7"/>
      <c r="I80" s="27"/>
      <c r="J80" s="27"/>
      <c r="K80" s="61">
        <v>0</v>
      </c>
      <c r="L80" s="8"/>
      <c r="M80" s="10"/>
    </row>
    <row r="81" spans="1:13" x14ac:dyDescent="0.35">
      <c r="A81" s="94">
        <v>78</v>
      </c>
      <c r="B81" s="124"/>
      <c r="C81" s="128"/>
      <c r="D81" s="7"/>
      <c r="E81" s="8"/>
      <c r="F81" s="11"/>
      <c r="G81" s="11"/>
      <c r="H81" s="7"/>
      <c r="I81" s="27"/>
      <c r="J81" s="27"/>
      <c r="K81" s="61">
        <v>0</v>
      </c>
      <c r="L81" s="8"/>
      <c r="M81" s="10"/>
    </row>
    <row r="82" spans="1:13" x14ac:dyDescent="0.35">
      <c r="A82" s="94">
        <v>79</v>
      </c>
      <c r="B82" s="124"/>
      <c r="C82" s="128"/>
      <c r="D82" s="7"/>
      <c r="E82" s="8"/>
      <c r="F82" s="7"/>
      <c r="G82" s="7"/>
      <c r="H82" s="7"/>
      <c r="I82" s="27"/>
      <c r="J82" s="27"/>
      <c r="K82" s="61">
        <v>0</v>
      </c>
      <c r="L82" s="8"/>
      <c r="M82" s="10"/>
    </row>
    <row r="83" spans="1:13" x14ac:dyDescent="0.35">
      <c r="A83" s="94">
        <v>80</v>
      </c>
      <c r="B83" s="124"/>
      <c r="C83" s="128"/>
      <c r="D83" s="7"/>
      <c r="E83" s="8"/>
      <c r="F83" s="7"/>
      <c r="G83" s="7"/>
      <c r="H83" s="7"/>
      <c r="I83" s="27"/>
      <c r="J83" s="27"/>
      <c r="K83" s="61">
        <v>0</v>
      </c>
      <c r="L83" s="8"/>
      <c r="M83" s="10"/>
    </row>
    <row r="84" spans="1:13" x14ac:dyDescent="0.35">
      <c r="A84" s="94">
        <v>81</v>
      </c>
      <c r="B84" s="124"/>
      <c r="C84" s="128"/>
      <c r="D84" s="7"/>
      <c r="E84" s="8"/>
      <c r="F84" s="7"/>
      <c r="G84" s="7"/>
      <c r="H84" s="7"/>
      <c r="I84" s="27"/>
      <c r="J84" s="27"/>
      <c r="K84" s="61">
        <v>0</v>
      </c>
      <c r="L84" s="8"/>
      <c r="M84" s="10"/>
    </row>
    <row r="85" spans="1:13" x14ac:dyDescent="0.35">
      <c r="A85" s="94">
        <v>82</v>
      </c>
      <c r="B85" s="124"/>
      <c r="C85" s="128"/>
      <c r="D85" s="7"/>
      <c r="E85" s="8"/>
      <c r="F85" s="7"/>
      <c r="G85" s="7"/>
      <c r="H85" s="7"/>
      <c r="I85" s="27"/>
      <c r="J85" s="27"/>
      <c r="K85" s="61">
        <v>0</v>
      </c>
      <c r="L85" s="8"/>
      <c r="M85" s="10"/>
    </row>
    <row r="86" spans="1:13" x14ac:dyDescent="0.35">
      <c r="A86" s="94">
        <v>83</v>
      </c>
      <c r="B86" s="124"/>
      <c r="C86" s="128"/>
      <c r="D86" s="7"/>
      <c r="E86" s="8"/>
      <c r="F86" s="11"/>
      <c r="G86" s="11"/>
      <c r="H86" s="11"/>
      <c r="I86" s="27"/>
      <c r="J86" s="27"/>
      <c r="K86" s="61">
        <v>0</v>
      </c>
      <c r="L86" s="8"/>
      <c r="M86" s="10"/>
    </row>
    <row r="87" spans="1:13" x14ac:dyDescent="0.35">
      <c r="A87" s="94">
        <v>84</v>
      </c>
      <c r="B87" s="124"/>
      <c r="C87" s="128"/>
      <c r="D87" s="7"/>
      <c r="E87" s="8"/>
      <c r="F87" s="7"/>
      <c r="G87" s="7"/>
      <c r="H87" s="7"/>
      <c r="I87" s="27"/>
      <c r="J87" s="27"/>
      <c r="K87" s="61">
        <v>0</v>
      </c>
      <c r="L87" s="8"/>
      <c r="M87" s="10"/>
    </row>
    <row r="88" spans="1:13" x14ac:dyDescent="0.35">
      <c r="A88" s="94">
        <v>85</v>
      </c>
      <c r="B88" s="124"/>
      <c r="C88" s="128"/>
      <c r="D88" s="7"/>
      <c r="E88" s="8"/>
      <c r="F88" s="7"/>
      <c r="G88" s="7"/>
      <c r="H88" s="7"/>
      <c r="I88" s="27"/>
      <c r="J88" s="27"/>
      <c r="K88" s="61">
        <v>0</v>
      </c>
      <c r="L88" s="8"/>
      <c r="M88" s="10"/>
    </row>
    <row r="89" spans="1:13" x14ac:dyDescent="0.35">
      <c r="A89" s="94">
        <v>86</v>
      </c>
      <c r="B89" s="124"/>
      <c r="C89" s="128"/>
      <c r="D89" s="7"/>
      <c r="E89" s="8"/>
      <c r="F89" s="7"/>
      <c r="G89" s="7"/>
      <c r="H89" s="7"/>
      <c r="I89" s="27"/>
      <c r="J89" s="27"/>
      <c r="K89" s="61">
        <v>0</v>
      </c>
      <c r="L89" s="8"/>
      <c r="M89" s="10"/>
    </row>
    <row r="90" spans="1:13" x14ac:dyDescent="0.35">
      <c r="A90" s="94">
        <v>87</v>
      </c>
      <c r="B90" s="124"/>
      <c r="C90" s="128"/>
      <c r="D90" s="7"/>
      <c r="E90" s="8"/>
      <c r="F90" s="7"/>
      <c r="G90" s="7"/>
      <c r="H90" s="7"/>
      <c r="I90" s="27"/>
      <c r="J90" s="27"/>
      <c r="K90" s="61">
        <v>0</v>
      </c>
      <c r="L90" s="8"/>
      <c r="M90" s="10"/>
    </row>
    <row r="91" spans="1:13" x14ac:dyDescent="0.35">
      <c r="A91" s="94">
        <v>88</v>
      </c>
      <c r="B91" s="124"/>
      <c r="C91" s="128"/>
      <c r="D91" s="7"/>
      <c r="E91" s="8"/>
      <c r="F91" s="7"/>
      <c r="G91" s="7"/>
      <c r="H91" s="7"/>
      <c r="I91" s="27"/>
      <c r="J91" s="27"/>
      <c r="K91" s="61">
        <v>0</v>
      </c>
      <c r="L91" s="8"/>
      <c r="M91" s="10"/>
    </row>
    <row r="92" spans="1:13" x14ac:dyDescent="0.35">
      <c r="A92" s="94">
        <v>89</v>
      </c>
      <c r="B92" s="124"/>
      <c r="C92" s="128"/>
      <c r="D92" s="7"/>
      <c r="E92" s="8"/>
      <c r="F92" s="7"/>
      <c r="G92" s="7"/>
      <c r="H92" s="7"/>
      <c r="I92" s="27"/>
      <c r="J92" s="27"/>
      <c r="K92" s="61">
        <v>0</v>
      </c>
      <c r="L92" s="8"/>
      <c r="M92" s="10"/>
    </row>
    <row r="93" spans="1:13" x14ac:dyDescent="0.35">
      <c r="A93" s="94">
        <v>90</v>
      </c>
      <c r="B93" s="124"/>
      <c r="C93" s="128"/>
      <c r="D93" s="7"/>
      <c r="E93" s="8"/>
      <c r="F93" s="7"/>
      <c r="G93" s="7"/>
      <c r="H93" s="7"/>
      <c r="I93" s="27"/>
      <c r="J93" s="27"/>
      <c r="K93" s="61">
        <v>0</v>
      </c>
      <c r="L93" s="8"/>
      <c r="M93" s="10"/>
    </row>
    <row r="94" spans="1:13" x14ac:dyDescent="0.35">
      <c r="A94" s="94">
        <v>91</v>
      </c>
      <c r="B94" s="124"/>
      <c r="C94" s="128"/>
      <c r="D94" s="7"/>
      <c r="E94" s="8"/>
      <c r="F94" s="7"/>
      <c r="G94" s="7"/>
      <c r="H94" s="7"/>
      <c r="I94" s="27"/>
      <c r="J94" s="27"/>
      <c r="K94" s="61">
        <v>0</v>
      </c>
      <c r="L94" s="8"/>
      <c r="M94" s="10"/>
    </row>
    <row r="95" spans="1:13" x14ac:dyDescent="0.35">
      <c r="A95" s="94">
        <v>92</v>
      </c>
      <c r="B95" s="124"/>
      <c r="C95" s="128"/>
      <c r="D95" s="7"/>
      <c r="E95" s="8"/>
      <c r="F95" s="7"/>
      <c r="G95" s="7"/>
      <c r="H95" s="7"/>
      <c r="I95" s="27"/>
      <c r="J95" s="27"/>
      <c r="K95" s="61">
        <v>0</v>
      </c>
      <c r="L95" s="8"/>
      <c r="M95" s="10"/>
    </row>
    <row r="96" spans="1:13" x14ac:dyDescent="0.35">
      <c r="A96" s="94">
        <v>93</v>
      </c>
      <c r="B96" s="124"/>
      <c r="C96" s="128"/>
      <c r="D96" s="7"/>
      <c r="E96" s="8"/>
      <c r="F96" s="11"/>
      <c r="G96" s="11"/>
      <c r="H96" s="7"/>
      <c r="I96" s="27"/>
      <c r="J96" s="27"/>
      <c r="K96" s="61">
        <v>0</v>
      </c>
      <c r="L96" s="8"/>
      <c r="M96" s="10"/>
    </row>
    <row r="97" spans="1:13" x14ac:dyDescent="0.35">
      <c r="A97" s="94">
        <v>94</v>
      </c>
      <c r="B97" s="124"/>
      <c r="C97" s="128"/>
      <c r="D97" s="7"/>
      <c r="E97" s="8"/>
      <c r="F97" s="7"/>
      <c r="G97" s="7"/>
      <c r="H97" s="7"/>
      <c r="I97" s="27"/>
      <c r="J97" s="27"/>
      <c r="K97" s="61">
        <v>0</v>
      </c>
      <c r="L97" s="8"/>
      <c r="M97" s="10"/>
    </row>
    <row r="98" spans="1:13" x14ac:dyDescent="0.35">
      <c r="A98" s="94">
        <v>82</v>
      </c>
      <c r="B98" s="124"/>
      <c r="C98" s="128"/>
      <c r="D98" s="7"/>
      <c r="E98" s="8"/>
      <c r="F98" s="7"/>
      <c r="G98" s="7"/>
      <c r="H98" s="7"/>
      <c r="I98" s="27"/>
      <c r="J98" s="27"/>
      <c r="K98" s="61">
        <v>0</v>
      </c>
      <c r="L98" s="8"/>
      <c r="M98" s="10"/>
    </row>
    <row r="99" spans="1:13" x14ac:dyDescent="0.35">
      <c r="A99" s="94">
        <v>96</v>
      </c>
      <c r="B99" s="124"/>
      <c r="C99" s="128"/>
      <c r="D99" s="7"/>
      <c r="E99" s="8"/>
      <c r="F99" s="12"/>
      <c r="G99" s="12"/>
      <c r="H99" s="12"/>
      <c r="I99" s="27"/>
      <c r="J99" s="27"/>
      <c r="K99" s="61">
        <v>0</v>
      </c>
      <c r="L99" s="8"/>
      <c r="M99" s="13"/>
    </row>
    <row r="100" spans="1:13" x14ac:dyDescent="0.35">
      <c r="A100" s="94">
        <v>97</v>
      </c>
      <c r="B100" s="124"/>
      <c r="C100" s="128"/>
      <c r="D100" s="7"/>
      <c r="E100" s="8"/>
      <c r="F100" s="7"/>
      <c r="G100" s="7"/>
      <c r="H100" s="7"/>
      <c r="I100" s="27"/>
      <c r="J100" s="27"/>
      <c r="K100" s="61">
        <v>0</v>
      </c>
      <c r="L100" s="8"/>
      <c r="M100" s="13"/>
    </row>
    <row r="101" spans="1:13" x14ac:dyDescent="0.35">
      <c r="A101" s="94">
        <v>98</v>
      </c>
      <c r="B101" s="124"/>
      <c r="C101" s="128"/>
      <c r="D101" s="7"/>
      <c r="E101" s="8"/>
      <c r="F101" s="7"/>
      <c r="G101" s="7"/>
      <c r="H101" s="7"/>
      <c r="I101" s="27"/>
      <c r="J101" s="27"/>
      <c r="K101" s="61">
        <v>0</v>
      </c>
      <c r="L101" s="8"/>
      <c r="M101" s="10"/>
    </row>
    <row r="102" spans="1:13" x14ac:dyDescent="0.35">
      <c r="A102" s="94">
        <v>99</v>
      </c>
      <c r="B102" s="124"/>
      <c r="C102" s="128"/>
      <c r="D102" s="7"/>
      <c r="E102" s="8"/>
      <c r="F102" s="7"/>
      <c r="G102" s="7"/>
      <c r="H102" s="7"/>
      <c r="I102" s="27"/>
      <c r="J102" s="27"/>
      <c r="K102" s="61">
        <v>0</v>
      </c>
      <c r="L102" s="8"/>
      <c r="M102" s="10"/>
    </row>
    <row r="103" spans="1:13" x14ac:dyDescent="0.35">
      <c r="A103" s="94">
        <v>100</v>
      </c>
      <c r="B103" s="124"/>
      <c r="C103" s="128"/>
      <c r="D103" s="7"/>
      <c r="E103" s="8"/>
      <c r="F103" s="11"/>
      <c r="G103" s="11"/>
      <c r="H103" s="11"/>
      <c r="I103" s="27"/>
      <c r="J103" s="27"/>
      <c r="K103" s="61">
        <v>0</v>
      </c>
      <c r="L103" s="8"/>
      <c r="M103" s="10"/>
    </row>
    <row r="104" spans="1:13" x14ac:dyDescent="0.35">
      <c r="A104" s="94">
        <v>101</v>
      </c>
      <c r="B104" s="124"/>
      <c r="C104" s="128"/>
      <c r="D104" s="7"/>
      <c r="E104" s="8"/>
      <c r="F104" s="11"/>
      <c r="G104" s="11"/>
      <c r="H104" s="11"/>
      <c r="I104" s="27"/>
      <c r="J104" s="27"/>
      <c r="K104" s="61">
        <v>0</v>
      </c>
      <c r="L104" s="8"/>
      <c r="M104" s="10"/>
    </row>
    <row r="105" spans="1:13" x14ac:dyDescent="0.35">
      <c r="A105" s="94">
        <v>102</v>
      </c>
      <c r="B105" s="124"/>
      <c r="C105" s="128"/>
      <c r="D105" s="7"/>
      <c r="E105" s="8"/>
      <c r="F105" s="11"/>
      <c r="G105" s="11"/>
      <c r="H105" s="11"/>
      <c r="I105" s="27"/>
      <c r="J105" s="27"/>
      <c r="K105" s="61">
        <v>0</v>
      </c>
      <c r="L105" s="8"/>
      <c r="M105" s="10"/>
    </row>
    <row r="106" spans="1:13" x14ac:dyDescent="0.35">
      <c r="A106" s="94">
        <v>103</v>
      </c>
      <c r="B106" s="124"/>
      <c r="C106" s="128"/>
      <c r="D106" s="7"/>
      <c r="E106" s="8"/>
      <c r="F106" s="11"/>
      <c r="G106" s="11"/>
      <c r="H106" s="11"/>
      <c r="I106" s="27"/>
      <c r="J106" s="27"/>
      <c r="K106" s="61">
        <v>0</v>
      </c>
      <c r="L106" s="8"/>
      <c r="M106" s="10"/>
    </row>
    <row r="107" spans="1:13" x14ac:dyDescent="0.35">
      <c r="A107" s="94">
        <v>104</v>
      </c>
      <c r="B107" s="124"/>
      <c r="C107" s="128"/>
      <c r="D107" s="7"/>
      <c r="E107" s="8"/>
      <c r="F107" s="11"/>
      <c r="G107" s="11"/>
      <c r="H107" s="11"/>
      <c r="I107" s="27"/>
      <c r="J107" s="27"/>
      <c r="K107" s="61">
        <v>0</v>
      </c>
      <c r="L107" s="8"/>
      <c r="M107" s="10"/>
    </row>
    <row r="108" spans="1:13" x14ac:dyDescent="0.35">
      <c r="A108" s="94">
        <v>105</v>
      </c>
      <c r="B108" s="124"/>
      <c r="C108" s="128"/>
      <c r="D108" s="7"/>
      <c r="E108" s="8"/>
      <c r="F108" s="7"/>
      <c r="G108" s="7"/>
      <c r="H108" s="11"/>
      <c r="I108" s="27"/>
      <c r="J108" s="27"/>
      <c r="K108" s="61">
        <v>0</v>
      </c>
      <c r="L108" s="8"/>
      <c r="M108" s="10"/>
    </row>
    <row r="109" spans="1:13" x14ac:dyDescent="0.35">
      <c r="A109" s="94">
        <v>106</v>
      </c>
      <c r="B109" s="124"/>
      <c r="C109" s="128"/>
      <c r="D109" s="7"/>
      <c r="E109" s="8"/>
      <c r="F109" s="11"/>
      <c r="G109" s="11"/>
      <c r="H109" s="11"/>
      <c r="I109" s="27"/>
      <c r="J109" s="27"/>
      <c r="K109" s="61">
        <v>0</v>
      </c>
      <c r="L109" s="8"/>
      <c r="M109" s="10"/>
    </row>
    <row r="110" spans="1:13" ht="26" x14ac:dyDescent="0.35">
      <c r="A110" s="94">
        <v>107</v>
      </c>
      <c r="B110" s="124"/>
      <c r="C110" s="128"/>
      <c r="D110" s="7"/>
      <c r="E110" s="8"/>
      <c r="F110" s="11"/>
      <c r="G110" s="11"/>
      <c r="H110" s="11"/>
      <c r="I110" s="27"/>
      <c r="J110" s="27"/>
      <c r="K110" s="61">
        <v>0</v>
      </c>
      <c r="L110" s="8"/>
      <c r="M110" s="10"/>
    </row>
    <row r="111" spans="1:13" ht="26" x14ac:dyDescent="0.35">
      <c r="A111" s="94">
        <v>108</v>
      </c>
      <c r="B111" s="124"/>
      <c r="C111" s="128"/>
      <c r="D111" s="7"/>
      <c r="E111" s="8"/>
      <c r="F111" s="11"/>
      <c r="G111" s="11"/>
      <c r="H111" s="11"/>
      <c r="I111" s="27"/>
      <c r="J111" s="27"/>
      <c r="K111" s="61">
        <v>0</v>
      </c>
      <c r="L111" s="8"/>
      <c r="M111" s="10"/>
    </row>
    <row r="112" spans="1:13" ht="26" x14ac:dyDescent="0.35">
      <c r="A112" s="94">
        <v>109</v>
      </c>
      <c r="B112" s="124"/>
      <c r="C112" s="128"/>
      <c r="D112" s="7"/>
      <c r="E112" s="8"/>
      <c r="F112" s="7"/>
      <c r="G112" s="7"/>
      <c r="H112" s="11"/>
      <c r="I112" s="27"/>
      <c r="J112" s="27"/>
      <c r="K112" s="61">
        <v>0</v>
      </c>
      <c r="L112" s="8"/>
      <c r="M112" s="10"/>
    </row>
    <row r="113" spans="1:13" ht="26" x14ac:dyDescent="0.35">
      <c r="A113" s="94">
        <v>110</v>
      </c>
      <c r="B113" s="124"/>
      <c r="C113" s="128"/>
      <c r="D113" s="7"/>
      <c r="E113" s="8"/>
      <c r="F113" s="11"/>
      <c r="G113" s="11"/>
      <c r="H113" s="11"/>
      <c r="I113" s="27"/>
      <c r="J113" s="27"/>
      <c r="K113" s="61">
        <v>0</v>
      </c>
      <c r="L113" s="8"/>
      <c r="M113" s="10"/>
    </row>
    <row r="114" spans="1:13" ht="26" x14ac:dyDescent="0.35">
      <c r="A114" s="94">
        <v>111</v>
      </c>
      <c r="B114" s="124"/>
      <c r="C114" s="128"/>
      <c r="D114" s="7"/>
      <c r="E114" s="8"/>
      <c r="F114" s="11"/>
      <c r="G114" s="11"/>
      <c r="H114" s="11"/>
      <c r="I114" s="27"/>
      <c r="J114" s="27"/>
      <c r="K114" s="61">
        <v>0</v>
      </c>
      <c r="L114" s="8"/>
      <c r="M114" s="10"/>
    </row>
    <row r="115" spans="1:13" ht="26" x14ac:dyDescent="0.35">
      <c r="A115" s="94">
        <v>112</v>
      </c>
      <c r="B115" s="124"/>
      <c r="C115" s="128"/>
      <c r="D115" s="7"/>
      <c r="E115" s="8"/>
      <c r="F115" s="7"/>
      <c r="G115" s="7"/>
      <c r="H115" s="11"/>
      <c r="I115" s="27"/>
      <c r="J115" s="27"/>
      <c r="K115" s="61">
        <v>0</v>
      </c>
      <c r="L115" s="8"/>
      <c r="M115" s="10"/>
    </row>
    <row r="116" spans="1:13" ht="26" x14ac:dyDescent="0.35">
      <c r="A116" s="94">
        <v>113</v>
      </c>
      <c r="B116" s="124"/>
      <c r="C116" s="128"/>
      <c r="D116" s="7"/>
      <c r="E116" s="8"/>
      <c r="F116" s="7"/>
      <c r="G116" s="7"/>
      <c r="H116" s="11"/>
      <c r="I116" s="27"/>
      <c r="J116" s="27"/>
      <c r="K116" s="61">
        <v>0</v>
      </c>
      <c r="L116" s="8"/>
      <c r="M116" s="10"/>
    </row>
    <row r="117" spans="1:13" ht="26" x14ac:dyDescent="0.35">
      <c r="A117" s="94">
        <v>114</v>
      </c>
      <c r="B117" s="124"/>
      <c r="C117" s="128"/>
      <c r="D117" s="7"/>
      <c r="E117" s="8"/>
      <c r="F117" s="7"/>
      <c r="G117" s="7"/>
      <c r="H117" s="11"/>
      <c r="I117" s="27"/>
      <c r="J117" s="27"/>
      <c r="K117" s="61">
        <v>0</v>
      </c>
      <c r="L117" s="8"/>
      <c r="M117" s="10"/>
    </row>
    <row r="118" spans="1:13" ht="26" x14ac:dyDescent="0.35">
      <c r="A118" s="94">
        <v>115</v>
      </c>
      <c r="B118" s="124"/>
      <c r="C118" s="128"/>
      <c r="D118" s="7"/>
      <c r="E118" s="8"/>
      <c r="F118" s="7"/>
      <c r="G118" s="7"/>
      <c r="H118" s="7"/>
      <c r="I118" s="27"/>
      <c r="J118" s="27"/>
      <c r="K118" s="61">
        <v>0</v>
      </c>
      <c r="L118" s="8"/>
      <c r="M118" s="10"/>
    </row>
    <row r="119" spans="1:13" ht="26" x14ac:dyDescent="0.35">
      <c r="A119" s="94">
        <v>116</v>
      </c>
      <c r="B119" s="124"/>
      <c r="C119" s="128"/>
      <c r="D119" s="7"/>
      <c r="E119" s="8"/>
      <c r="F119" s="11"/>
      <c r="G119" s="11"/>
      <c r="H119" s="11"/>
      <c r="I119" s="27"/>
      <c r="J119" s="27"/>
      <c r="K119" s="61">
        <v>0</v>
      </c>
      <c r="L119" s="8"/>
      <c r="M119" s="10"/>
    </row>
    <row r="120" spans="1:13" ht="26" x14ac:dyDescent="0.35">
      <c r="A120" s="94">
        <v>117</v>
      </c>
      <c r="B120" s="124"/>
      <c r="C120" s="128"/>
      <c r="D120" s="7"/>
      <c r="E120" s="8"/>
      <c r="F120" s="7"/>
      <c r="G120" s="7"/>
      <c r="H120" s="11"/>
      <c r="I120" s="27"/>
      <c r="J120" s="27"/>
      <c r="K120" s="61">
        <v>0</v>
      </c>
      <c r="L120" s="8"/>
      <c r="M120" s="10"/>
    </row>
    <row r="121" spans="1:13" ht="26" x14ac:dyDescent="0.35">
      <c r="A121" s="94">
        <v>118</v>
      </c>
      <c r="B121" s="124"/>
      <c r="C121" s="128"/>
      <c r="D121" s="7"/>
      <c r="E121" s="8"/>
      <c r="F121" s="7"/>
      <c r="G121" s="7"/>
      <c r="H121" s="11"/>
      <c r="I121" s="27"/>
      <c r="J121" s="27"/>
      <c r="K121" s="61">
        <v>0</v>
      </c>
      <c r="L121" s="8"/>
      <c r="M121" s="10"/>
    </row>
    <row r="122" spans="1:13" ht="26" x14ac:dyDescent="0.35">
      <c r="A122" s="94">
        <v>119</v>
      </c>
      <c r="B122" s="124"/>
      <c r="C122" s="128"/>
      <c r="D122" s="7"/>
      <c r="E122" s="8"/>
      <c r="F122" s="7"/>
      <c r="G122" s="7"/>
      <c r="H122" s="7"/>
      <c r="I122" s="27"/>
      <c r="J122" s="27"/>
      <c r="K122" s="61">
        <v>0</v>
      </c>
      <c r="L122" s="8"/>
      <c r="M122" s="10"/>
    </row>
    <row r="123" spans="1:13" ht="26" x14ac:dyDescent="0.35">
      <c r="A123" s="94">
        <v>120</v>
      </c>
      <c r="B123" s="124"/>
      <c r="C123" s="128"/>
      <c r="D123" s="7"/>
      <c r="E123" s="8"/>
      <c r="F123" s="7"/>
      <c r="G123" s="7"/>
      <c r="H123" s="7"/>
      <c r="I123" s="27"/>
      <c r="J123" s="27"/>
      <c r="K123" s="61">
        <v>0</v>
      </c>
      <c r="L123" s="8"/>
      <c r="M123" s="10"/>
    </row>
    <row r="124" spans="1:13" ht="26" x14ac:dyDescent="0.35">
      <c r="A124" s="94">
        <v>121</v>
      </c>
      <c r="B124" s="124"/>
      <c r="C124" s="128"/>
      <c r="D124" s="7"/>
      <c r="E124" s="8"/>
      <c r="F124" s="7"/>
      <c r="G124" s="7"/>
      <c r="H124" s="11"/>
      <c r="I124" s="27"/>
      <c r="J124" s="27"/>
      <c r="K124" s="61">
        <v>0</v>
      </c>
      <c r="L124" s="8"/>
      <c r="M124" s="10"/>
    </row>
    <row r="125" spans="1:13" ht="26" x14ac:dyDescent="0.35">
      <c r="A125" s="94">
        <v>122</v>
      </c>
      <c r="B125" s="124"/>
      <c r="C125" s="128"/>
      <c r="D125" s="7"/>
      <c r="E125" s="8"/>
      <c r="F125" s="7"/>
      <c r="G125" s="7"/>
      <c r="H125" s="7"/>
      <c r="I125" s="27"/>
      <c r="J125" s="27"/>
      <c r="K125" s="61">
        <v>0</v>
      </c>
      <c r="L125" s="8"/>
      <c r="M125" s="10"/>
    </row>
    <row r="126" spans="1:13" ht="26" x14ac:dyDescent="0.35">
      <c r="A126" s="94">
        <v>123</v>
      </c>
      <c r="B126" s="124"/>
      <c r="C126" s="128"/>
      <c r="D126" s="7"/>
      <c r="E126" s="8"/>
      <c r="F126" s="7"/>
      <c r="G126" s="7"/>
      <c r="H126" s="7"/>
      <c r="I126" s="27"/>
      <c r="J126" s="27"/>
      <c r="K126" s="61">
        <v>0</v>
      </c>
      <c r="L126" s="8"/>
      <c r="M126" s="10"/>
    </row>
    <row r="127" spans="1:13" ht="26" x14ac:dyDescent="0.35">
      <c r="A127" s="94">
        <v>124</v>
      </c>
      <c r="B127" s="124"/>
      <c r="C127" s="128"/>
      <c r="D127" s="7"/>
      <c r="E127" s="8"/>
      <c r="F127" s="11"/>
      <c r="G127" s="11"/>
      <c r="H127" s="11"/>
      <c r="I127" s="27"/>
      <c r="J127" s="27"/>
      <c r="K127" s="61">
        <v>0</v>
      </c>
      <c r="L127" s="8"/>
      <c r="M127" s="10"/>
    </row>
    <row r="128" spans="1:13" ht="26" x14ac:dyDescent="0.35">
      <c r="A128" s="94">
        <v>125</v>
      </c>
      <c r="B128" s="124"/>
      <c r="C128" s="128"/>
      <c r="D128" s="7"/>
      <c r="E128" s="8"/>
      <c r="F128" s="7"/>
      <c r="G128" s="7"/>
      <c r="H128" s="11"/>
      <c r="I128" s="27"/>
      <c r="J128" s="27"/>
      <c r="K128" s="61">
        <v>0</v>
      </c>
      <c r="L128" s="8"/>
      <c r="M128" s="13"/>
    </row>
    <row r="129" spans="1:13" ht="26" x14ac:dyDescent="0.35">
      <c r="A129" s="94">
        <v>126</v>
      </c>
      <c r="B129" s="124"/>
      <c r="C129" s="128"/>
      <c r="D129" s="7"/>
      <c r="E129" s="8"/>
      <c r="F129" s="7"/>
      <c r="G129" s="7"/>
      <c r="H129" s="11"/>
      <c r="I129" s="27"/>
      <c r="J129" s="27"/>
      <c r="K129" s="61">
        <v>0</v>
      </c>
      <c r="L129" s="8"/>
      <c r="M129" s="10"/>
    </row>
    <row r="130" spans="1:13" ht="26" x14ac:dyDescent="0.35">
      <c r="A130" s="94">
        <v>127</v>
      </c>
      <c r="B130" s="124"/>
      <c r="C130" s="128"/>
      <c r="D130" s="7"/>
      <c r="E130" s="8"/>
      <c r="F130" s="7"/>
      <c r="G130" s="7"/>
      <c r="H130" s="11"/>
      <c r="I130" s="27"/>
      <c r="J130" s="27"/>
      <c r="K130" s="61">
        <v>0</v>
      </c>
      <c r="L130" s="8"/>
      <c r="M130" s="13"/>
    </row>
    <row r="131" spans="1:13" ht="26" x14ac:dyDescent="0.35">
      <c r="A131" s="94">
        <v>128</v>
      </c>
      <c r="B131" s="124"/>
      <c r="C131" s="128"/>
      <c r="D131" s="7"/>
      <c r="E131" s="8"/>
      <c r="F131" s="7"/>
      <c r="G131" s="7"/>
      <c r="H131" s="7"/>
      <c r="I131" s="27"/>
      <c r="J131" s="27"/>
      <c r="K131" s="61">
        <v>0</v>
      </c>
      <c r="L131" s="8"/>
      <c r="M131" s="10"/>
    </row>
    <row r="132" spans="1:13" ht="26" x14ac:dyDescent="0.35">
      <c r="A132" s="94">
        <v>129</v>
      </c>
      <c r="B132" s="124"/>
      <c r="C132" s="128"/>
      <c r="D132" s="7"/>
      <c r="E132" s="8"/>
      <c r="F132" s="7"/>
      <c r="G132" s="7"/>
      <c r="H132" s="7"/>
      <c r="I132" s="27"/>
      <c r="J132" s="27"/>
      <c r="K132" s="61">
        <v>0</v>
      </c>
      <c r="L132" s="8"/>
      <c r="M132" s="10"/>
    </row>
    <row r="133" spans="1:13" ht="26" x14ac:dyDescent="0.35">
      <c r="A133" s="94">
        <v>130</v>
      </c>
      <c r="B133" s="124"/>
      <c r="C133" s="128"/>
      <c r="D133" s="7"/>
      <c r="E133" s="8"/>
      <c r="F133" s="7"/>
      <c r="G133" s="7"/>
      <c r="H133" s="7"/>
      <c r="I133" s="27"/>
      <c r="J133" s="27"/>
      <c r="K133" s="61">
        <v>0</v>
      </c>
      <c r="L133" s="8"/>
      <c r="M133" s="10"/>
    </row>
    <row r="134" spans="1:13" x14ac:dyDescent="0.35">
      <c r="A134" s="94">
        <v>131</v>
      </c>
      <c r="B134" s="124"/>
      <c r="C134" s="128"/>
      <c r="D134" s="7"/>
      <c r="E134" s="8"/>
      <c r="F134" s="7"/>
      <c r="G134" s="7"/>
      <c r="H134" s="7"/>
      <c r="I134" s="27"/>
      <c r="J134" s="27"/>
      <c r="K134" s="61">
        <v>0</v>
      </c>
      <c r="L134" s="8"/>
      <c r="M134" s="10"/>
    </row>
    <row r="135" spans="1:13" x14ac:dyDescent="0.35">
      <c r="A135" s="94">
        <v>132</v>
      </c>
      <c r="B135" s="124"/>
      <c r="C135" s="128"/>
      <c r="D135" s="7"/>
      <c r="E135" s="8"/>
      <c r="F135" s="7"/>
      <c r="G135" s="7"/>
      <c r="H135" s="7"/>
      <c r="I135" s="27"/>
      <c r="J135" s="27"/>
      <c r="K135" s="61">
        <v>0</v>
      </c>
      <c r="L135" s="8"/>
      <c r="M135" s="10"/>
    </row>
    <row r="136" spans="1:13" x14ac:dyDescent="0.35">
      <c r="A136" s="94">
        <v>133</v>
      </c>
      <c r="B136" s="124"/>
      <c r="C136" s="128"/>
      <c r="D136" s="7"/>
      <c r="E136" s="8"/>
      <c r="F136" s="7"/>
      <c r="G136" s="7"/>
      <c r="H136" s="7"/>
      <c r="I136" s="27"/>
      <c r="J136" s="27"/>
      <c r="K136" s="61">
        <v>0</v>
      </c>
      <c r="L136" s="8"/>
      <c r="M136" s="10"/>
    </row>
    <row r="137" spans="1:13" x14ac:dyDescent="0.35">
      <c r="A137" s="94">
        <v>134</v>
      </c>
      <c r="B137" s="124"/>
      <c r="C137" s="128"/>
      <c r="D137" s="7"/>
      <c r="E137" s="8"/>
      <c r="F137" s="7"/>
      <c r="G137" s="7"/>
      <c r="H137" s="7"/>
      <c r="I137" s="27"/>
      <c r="J137" s="27"/>
      <c r="K137" s="61">
        <v>0</v>
      </c>
      <c r="L137" s="8"/>
      <c r="M137" s="10"/>
    </row>
    <row r="138" spans="1:13" x14ac:dyDescent="0.35">
      <c r="A138" s="94">
        <v>135</v>
      </c>
      <c r="B138" s="124"/>
      <c r="C138" s="128"/>
      <c r="D138" s="7"/>
      <c r="E138" s="8"/>
      <c r="F138" s="7"/>
      <c r="G138" s="7"/>
      <c r="H138" s="7"/>
      <c r="I138" s="27"/>
      <c r="J138" s="27"/>
      <c r="K138" s="61">
        <v>0</v>
      </c>
      <c r="L138" s="8"/>
      <c r="M138" s="10"/>
    </row>
    <row r="139" spans="1:13" x14ac:dyDescent="0.35">
      <c r="A139" s="94">
        <v>136</v>
      </c>
      <c r="B139" s="124"/>
      <c r="C139" s="128"/>
      <c r="D139" s="7"/>
      <c r="E139" s="8"/>
      <c r="F139" s="7"/>
      <c r="G139" s="7"/>
      <c r="H139" s="7"/>
      <c r="I139" s="27"/>
      <c r="J139" s="27"/>
      <c r="K139" s="61">
        <v>0</v>
      </c>
      <c r="L139" s="8"/>
      <c r="M139" s="10"/>
    </row>
    <row r="140" spans="1:13" x14ac:dyDescent="0.35">
      <c r="A140" s="94">
        <v>137</v>
      </c>
      <c r="B140" s="124"/>
      <c r="C140" s="128"/>
      <c r="D140" s="7"/>
      <c r="E140" s="8"/>
      <c r="F140" s="7"/>
      <c r="G140" s="7"/>
      <c r="H140" s="7"/>
      <c r="I140" s="27"/>
      <c r="J140" s="27"/>
      <c r="K140" s="61">
        <v>0</v>
      </c>
      <c r="L140" s="8"/>
      <c r="M140" s="10"/>
    </row>
    <row r="141" spans="1:13" x14ac:dyDescent="0.35">
      <c r="A141" s="94">
        <v>138</v>
      </c>
      <c r="B141" s="124"/>
      <c r="C141" s="128"/>
      <c r="D141" s="7"/>
      <c r="E141" s="8"/>
      <c r="F141" s="7"/>
      <c r="G141" s="7"/>
      <c r="H141" s="7"/>
      <c r="I141" s="27"/>
      <c r="J141" s="27"/>
      <c r="K141" s="61">
        <v>0</v>
      </c>
      <c r="L141" s="8"/>
      <c r="M141" s="10"/>
    </row>
    <row r="142" spans="1:13" x14ac:dyDescent="0.35">
      <c r="A142" s="94">
        <v>139</v>
      </c>
      <c r="B142" s="124"/>
      <c r="C142" s="128"/>
      <c r="D142" s="7"/>
      <c r="E142" s="8"/>
      <c r="F142" s="7"/>
      <c r="G142" s="7"/>
      <c r="H142" s="7"/>
      <c r="I142" s="27"/>
      <c r="J142" s="27"/>
      <c r="K142" s="61">
        <v>0</v>
      </c>
      <c r="L142" s="8"/>
      <c r="M142" s="10"/>
    </row>
    <row r="143" spans="1:13" x14ac:dyDescent="0.35">
      <c r="A143" s="94">
        <v>140</v>
      </c>
      <c r="B143" s="124"/>
      <c r="C143" s="128"/>
      <c r="D143" s="7"/>
      <c r="E143" s="8"/>
      <c r="F143" s="7"/>
      <c r="G143" s="7"/>
      <c r="H143" s="7"/>
      <c r="I143" s="27"/>
      <c r="J143" s="27"/>
      <c r="K143" s="61">
        <v>0</v>
      </c>
      <c r="L143" s="8"/>
      <c r="M143" s="10"/>
    </row>
    <row r="144" spans="1:13" x14ac:dyDescent="0.35">
      <c r="A144" s="94">
        <v>141</v>
      </c>
      <c r="B144" s="124"/>
      <c r="C144" s="128"/>
      <c r="D144" s="7"/>
      <c r="E144" s="8"/>
      <c r="F144" s="11"/>
      <c r="G144" s="11"/>
      <c r="H144" s="11"/>
      <c r="I144" s="27"/>
      <c r="J144" s="27"/>
      <c r="K144" s="61">
        <v>0</v>
      </c>
      <c r="L144" s="8"/>
      <c r="M144" s="10"/>
    </row>
    <row r="145" spans="1:13" x14ac:dyDescent="0.35">
      <c r="A145" s="94">
        <v>142</v>
      </c>
      <c r="B145" s="124"/>
      <c r="C145" s="128"/>
      <c r="D145" s="7"/>
      <c r="E145" s="8"/>
      <c r="F145" s="7"/>
      <c r="G145" s="7"/>
      <c r="H145" s="7"/>
      <c r="I145" s="27"/>
      <c r="J145" s="27"/>
      <c r="K145" s="61">
        <v>0</v>
      </c>
      <c r="L145" s="8"/>
      <c r="M145" s="10"/>
    </row>
    <row r="146" spans="1:13" ht="26" x14ac:dyDescent="0.35">
      <c r="A146" s="94">
        <v>143</v>
      </c>
      <c r="B146" s="124"/>
      <c r="C146" s="128"/>
      <c r="D146" s="7"/>
      <c r="E146" s="8"/>
      <c r="F146" s="7"/>
      <c r="G146" s="7"/>
      <c r="H146" s="7"/>
      <c r="I146" s="27"/>
      <c r="J146" s="27"/>
      <c r="K146" s="61">
        <v>0</v>
      </c>
      <c r="L146" s="8"/>
      <c r="M146" s="10"/>
    </row>
    <row r="147" spans="1:13" ht="39" x14ac:dyDescent="0.35">
      <c r="A147" s="94">
        <v>144</v>
      </c>
      <c r="B147" s="124"/>
      <c r="C147" s="128"/>
      <c r="D147" s="7"/>
      <c r="E147" s="8"/>
      <c r="F147" s="11"/>
      <c r="G147" s="11"/>
      <c r="H147" s="11"/>
      <c r="I147" s="27"/>
      <c r="J147" s="27"/>
      <c r="K147" s="61">
        <v>0</v>
      </c>
      <c r="L147" s="8"/>
      <c r="M147" s="10"/>
    </row>
    <row r="148" spans="1:13" ht="39" x14ac:dyDescent="0.35">
      <c r="A148" s="94">
        <v>145</v>
      </c>
      <c r="B148" s="124"/>
      <c r="C148" s="128"/>
      <c r="D148" s="7"/>
      <c r="E148" s="8"/>
      <c r="F148" s="7"/>
      <c r="G148" s="7"/>
      <c r="H148" s="7"/>
      <c r="I148" s="27"/>
      <c r="J148" s="27"/>
      <c r="K148" s="61">
        <v>0</v>
      </c>
      <c r="L148" s="8"/>
      <c r="M148" s="10"/>
    </row>
    <row r="149" spans="1:13" ht="39" x14ac:dyDescent="0.35">
      <c r="A149" s="94">
        <v>146</v>
      </c>
      <c r="B149" s="124"/>
      <c r="C149" s="128"/>
      <c r="D149" s="7"/>
      <c r="E149" s="8"/>
      <c r="F149" s="7"/>
      <c r="G149" s="7"/>
      <c r="H149" s="7"/>
      <c r="I149" s="27"/>
      <c r="J149" s="27"/>
      <c r="K149" s="61">
        <v>0</v>
      </c>
      <c r="L149" s="8"/>
      <c r="M149" s="10"/>
    </row>
    <row r="150" spans="1:13" ht="39" x14ac:dyDescent="0.35">
      <c r="A150" s="94">
        <v>147</v>
      </c>
      <c r="B150" s="124"/>
      <c r="C150" s="128"/>
      <c r="D150" s="7"/>
      <c r="E150" s="8"/>
      <c r="F150" s="7"/>
      <c r="G150" s="7"/>
      <c r="H150" s="7"/>
      <c r="I150" s="27"/>
      <c r="J150" s="27"/>
      <c r="K150" s="61">
        <v>0</v>
      </c>
      <c r="L150" s="8"/>
      <c r="M150" s="10"/>
    </row>
    <row r="151" spans="1:13" ht="39" x14ac:dyDescent="0.35">
      <c r="A151" s="94">
        <v>148</v>
      </c>
      <c r="B151" s="124"/>
      <c r="C151" s="128"/>
      <c r="D151" s="7"/>
      <c r="E151" s="8"/>
      <c r="F151" s="11"/>
      <c r="G151" s="11"/>
      <c r="H151" s="11"/>
      <c r="I151" s="27"/>
      <c r="J151" s="27"/>
      <c r="K151" s="61">
        <v>0</v>
      </c>
      <c r="L151" s="8"/>
      <c r="M151" s="10"/>
    </row>
    <row r="152" spans="1:13" ht="39" x14ac:dyDescent="0.35">
      <c r="A152" s="94">
        <v>149</v>
      </c>
      <c r="B152" s="124"/>
      <c r="C152" s="128"/>
      <c r="D152" s="7"/>
      <c r="E152" s="8"/>
      <c r="F152" s="7"/>
      <c r="G152" s="7"/>
      <c r="H152" s="11"/>
      <c r="I152" s="27"/>
      <c r="J152" s="27"/>
      <c r="K152" s="61">
        <v>0</v>
      </c>
      <c r="L152" s="8"/>
      <c r="M152" s="10"/>
    </row>
    <row r="153" spans="1:13" ht="39" x14ac:dyDescent="0.35">
      <c r="A153" s="94">
        <v>150</v>
      </c>
      <c r="B153" s="124"/>
      <c r="C153" s="128"/>
      <c r="D153" s="7"/>
      <c r="E153" s="8"/>
      <c r="F153" s="7"/>
      <c r="G153" s="7"/>
      <c r="H153" s="7"/>
      <c r="I153" s="27"/>
      <c r="J153" s="27"/>
      <c r="K153" s="61">
        <v>0</v>
      </c>
      <c r="L153" s="8"/>
      <c r="M153" s="10"/>
    </row>
    <row r="154" spans="1:13" ht="39" x14ac:dyDescent="0.35">
      <c r="A154" s="94">
        <v>151</v>
      </c>
      <c r="B154" s="124"/>
      <c r="C154" s="128"/>
      <c r="D154" s="7"/>
      <c r="E154" s="8"/>
      <c r="F154" s="7"/>
      <c r="G154" s="7"/>
      <c r="H154" s="11"/>
      <c r="I154" s="27"/>
      <c r="J154" s="27"/>
      <c r="K154" s="61">
        <v>0</v>
      </c>
      <c r="L154" s="8"/>
      <c r="M154" s="10"/>
    </row>
    <row r="155" spans="1:13" ht="39" x14ac:dyDescent="0.35">
      <c r="A155" s="94">
        <v>152</v>
      </c>
      <c r="B155" s="124"/>
      <c r="C155" s="128"/>
      <c r="D155" s="7"/>
      <c r="E155" s="8"/>
      <c r="F155" s="7"/>
      <c r="G155" s="7"/>
      <c r="H155" s="7"/>
      <c r="I155" s="27"/>
      <c r="J155" s="27"/>
      <c r="K155" s="61">
        <v>0</v>
      </c>
      <c r="L155" s="8"/>
      <c r="M155" s="10"/>
    </row>
    <row r="156" spans="1:13" ht="39" x14ac:dyDescent="0.35">
      <c r="A156" s="94">
        <v>153</v>
      </c>
      <c r="B156" s="124"/>
      <c r="C156" s="128"/>
      <c r="D156" s="7"/>
      <c r="E156" s="8"/>
      <c r="F156" s="7"/>
      <c r="G156" s="7"/>
      <c r="H156" s="7"/>
      <c r="I156" s="27"/>
      <c r="J156" s="27"/>
      <c r="K156" s="61">
        <v>0</v>
      </c>
      <c r="L156" s="8"/>
      <c r="M156" s="10"/>
    </row>
    <row r="157" spans="1:13" ht="39" x14ac:dyDescent="0.35">
      <c r="A157" s="94">
        <v>154</v>
      </c>
      <c r="B157" s="124"/>
      <c r="C157" s="128"/>
      <c r="D157" s="7"/>
      <c r="E157" s="8"/>
      <c r="F157" s="7"/>
      <c r="G157" s="7"/>
      <c r="H157" s="7"/>
      <c r="I157" s="27"/>
      <c r="J157" s="27"/>
      <c r="K157" s="61">
        <v>0</v>
      </c>
      <c r="L157" s="8"/>
      <c r="M157" s="10"/>
    </row>
    <row r="158" spans="1:13" ht="39" x14ac:dyDescent="0.35">
      <c r="A158" s="94">
        <v>155</v>
      </c>
      <c r="B158" s="124"/>
      <c r="C158" s="128"/>
      <c r="D158" s="7"/>
      <c r="E158" s="8"/>
      <c r="F158" s="7"/>
      <c r="G158" s="7"/>
      <c r="H158" s="11"/>
      <c r="I158" s="27"/>
      <c r="J158" s="27"/>
      <c r="K158" s="61">
        <v>0</v>
      </c>
      <c r="L158" s="8"/>
      <c r="M158" s="10"/>
    </row>
    <row r="159" spans="1:13" ht="39" x14ac:dyDescent="0.35">
      <c r="A159" s="94">
        <v>156</v>
      </c>
      <c r="B159" s="124"/>
      <c r="C159" s="128"/>
      <c r="D159" s="7"/>
      <c r="E159" s="8"/>
      <c r="F159" s="7"/>
      <c r="G159" s="7"/>
      <c r="H159" s="11"/>
      <c r="I159" s="27"/>
      <c r="J159" s="27"/>
      <c r="K159" s="61">
        <v>0</v>
      </c>
      <c r="L159" s="8"/>
      <c r="M159" s="10"/>
    </row>
    <row r="160" spans="1:13" ht="39" x14ac:dyDescent="0.35">
      <c r="A160" s="94">
        <v>157</v>
      </c>
      <c r="B160" s="124"/>
      <c r="C160" s="128"/>
      <c r="D160" s="7"/>
      <c r="E160" s="8"/>
      <c r="F160" s="7"/>
      <c r="G160" s="7"/>
      <c r="H160" s="7"/>
      <c r="I160" s="27"/>
      <c r="J160" s="27"/>
      <c r="K160" s="61">
        <v>0</v>
      </c>
      <c r="L160" s="8"/>
      <c r="M160" s="10"/>
    </row>
    <row r="161" spans="1:13" ht="39" x14ac:dyDescent="0.35">
      <c r="A161" s="94">
        <v>158</v>
      </c>
      <c r="B161" s="124"/>
      <c r="C161" s="128"/>
      <c r="D161" s="7"/>
      <c r="E161" s="8"/>
      <c r="F161" s="7"/>
      <c r="G161" s="7"/>
      <c r="H161" s="7"/>
      <c r="I161" s="27"/>
      <c r="J161" s="27"/>
      <c r="K161" s="61">
        <v>0</v>
      </c>
      <c r="L161" s="8"/>
      <c r="M161" s="10"/>
    </row>
    <row r="162" spans="1:13" ht="39" x14ac:dyDescent="0.35">
      <c r="A162" s="94">
        <v>159</v>
      </c>
      <c r="B162" s="124"/>
      <c r="C162" s="128"/>
      <c r="D162" s="7"/>
      <c r="E162" s="8"/>
      <c r="F162" s="7"/>
      <c r="G162" s="7"/>
      <c r="H162" s="7"/>
      <c r="I162" s="27"/>
      <c r="J162" s="27"/>
      <c r="K162" s="61">
        <v>0</v>
      </c>
      <c r="L162" s="8"/>
      <c r="M162" s="10"/>
    </row>
    <row r="163" spans="1:13" ht="39" x14ac:dyDescent="0.35">
      <c r="A163" s="94">
        <v>160</v>
      </c>
      <c r="B163" s="124"/>
      <c r="C163" s="128"/>
      <c r="D163" s="7"/>
      <c r="E163" s="8"/>
      <c r="F163" s="7"/>
      <c r="G163" s="7"/>
      <c r="H163" s="7"/>
      <c r="I163" s="27"/>
      <c r="J163" s="27"/>
      <c r="K163" s="61">
        <v>0</v>
      </c>
      <c r="L163" s="8"/>
      <c r="M163" s="10"/>
    </row>
    <row r="164" spans="1:13" ht="39" x14ac:dyDescent="0.35">
      <c r="A164" s="94">
        <v>161</v>
      </c>
      <c r="B164" s="124"/>
      <c r="C164" s="128"/>
      <c r="D164" s="7"/>
      <c r="E164" s="8"/>
      <c r="F164" s="7"/>
      <c r="G164" s="7"/>
      <c r="H164" s="7"/>
      <c r="I164" s="27"/>
      <c r="J164" s="27"/>
      <c r="K164" s="61">
        <v>0</v>
      </c>
      <c r="L164" s="8"/>
      <c r="M164" s="10"/>
    </row>
    <row r="165" spans="1:13" ht="39" x14ac:dyDescent="0.35">
      <c r="A165" s="94">
        <v>162</v>
      </c>
      <c r="B165" s="124"/>
      <c r="C165" s="128"/>
      <c r="D165" s="7"/>
      <c r="E165" s="8"/>
      <c r="F165" s="7"/>
      <c r="G165" s="7"/>
      <c r="H165" s="7"/>
      <c r="I165" s="27"/>
      <c r="J165" s="27"/>
      <c r="K165" s="61">
        <v>0</v>
      </c>
      <c r="L165" s="8"/>
      <c r="M165" s="10"/>
    </row>
    <row r="166" spans="1:13" ht="39" x14ac:dyDescent="0.35">
      <c r="A166" s="94">
        <v>163</v>
      </c>
      <c r="B166" s="124"/>
      <c r="C166" s="128"/>
      <c r="D166" s="7"/>
      <c r="E166" s="8"/>
      <c r="F166" s="7"/>
      <c r="G166" s="7"/>
      <c r="H166" s="7"/>
      <c r="I166" s="27"/>
      <c r="J166" s="27"/>
      <c r="K166" s="61">
        <v>0</v>
      </c>
      <c r="L166" s="8"/>
      <c r="M166" s="10"/>
    </row>
    <row r="167" spans="1:13" ht="39" x14ac:dyDescent="0.35">
      <c r="A167" s="94">
        <v>164</v>
      </c>
      <c r="B167" s="124"/>
      <c r="C167" s="128"/>
      <c r="D167" s="7"/>
      <c r="E167" s="8"/>
      <c r="F167" s="7"/>
      <c r="G167" s="7"/>
      <c r="H167" s="7"/>
      <c r="I167" s="27"/>
      <c r="J167" s="27"/>
      <c r="K167" s="61">
        <v>0</v>
      </c>
      <c r="L167" s="8"/>
      <c r="M167" s="10"/>
    </row>
    <row r="168" spans="1:13" ht="39" x14ac:dyDescent="0.35">
      <c r="A168" s="94">
        <v>165</v>
      </c>
      <c r="B168" s="124"/>
      <c r="C168" s="128"/>
      <c r="D168" s="7"/>
      <c r="E168" s="8"/>
      <c r="F168" s="7"/>
      <c r="G168" s="7"/>
      <c r="H168" s="7"/>
      <c r="I168" s="27"/>
      <c r="J168" s="27"/>
      <c r="K168" s="61">
        <v>0</v>
      </c>
      <c r="L168" s="8"/>
      <c r="M168" s="10"/>
    </row>
    <row r="169" spans="1:13" ht="39" x14ac:dyDescent="0.35">
      <c r="A169" s="94">
        <v>166</v>
      </c>
      <c r="B169" s="124"/>
      <c r="C169" s="128"/>
      <c r="D169" s="7"/>
      <c r="E169" s="8"/>
      <c r="F169" s="7"/>
      <c r="G169" s="7"/>
      <c r="H169" s="7"/>
      <c r="I169" s="27"/>
      <c r="J169" s="27"/>
      <c r="K169" s="61">
        <v>0</v>
      </c>
      <c r="L169" s="8"/>
      <c r="M169" s="10"/>
    </row>
    <row r="170" spans="1:13" ht="39" x14ac:dyDescent="0.35">
      <c r="A170" s="94">
        <v>167</v>
      </c>
      <c r="B170" s="124"/>
      <c r="C170" s="128"/>
      <c r="D170" s="7"/>
      <c r="E170" s="8"/>
      <c r="F170" s="7"/>
      <c r="G170" s="7"/>
      <c r="H170" s="7"/>
      <c r="I170" s="27"/>
      <c r="J170" s="27"/>
      <c r="K170" s="61">
        <v>0</v>
      </c>
      <c r="L170" s="8"/>
      <c r="M170" s="10"/>
    </row>
    <row r="171" spans="1:13" ht="39" x14ac:dyDescent="0.35">
      <c r="A171" s="94">
        <v>168</v>
      </c>
      <c r="B171" s="124"/>
      <c r="C171" s="128"/>
      <c r="D171" s="7"/>
      <c r="E171" s="8"/>
      <c r="F171" s="7"/>
      <c r="G171" s="7"/>
      <c r="H171" s="7"/>
      <c r="I171" s="27"/>
      <c r="J171" s="27"/>
      <c r="K171" s="61">
        <v>0</v>
      </c>
      <c r="L171" s="8"/>
      <c r="M171" s="10"/>
    </row>
    <row r="172" spans="1:13" ht="39" x14ac:dyDescent="0.35">
      <c r="A172" s="94">
        <v>169</v>
      </c>
      <c r="B172" s="124"/>
      <c r="C172" s="128"/>
      <c r="D172" s="7"/>
      <c r="E172" s="8"/>
      <c r="F172" s="14"/>
      <c r="G172" s="14"/>
      <c r="H172" s="7"/>
      <c r="I172" s="27"/>
      <c r="J172" s="27"/>
      <c r="K172" s="61">
        <v>0</v>
      </c>
      <c r="L172" s="8"/>
      <c r="M172" s="10"/>
    </row>
    <row r="173" spans="1:13" ht="39" x14ac:dyDescent="0.35">
      <c r="A173" s="94">
        <v>170</v>
      </c>
      <c r="B173" s="124"/>
      <c r="C173" s="128"/>
      <c r="D173" s="7"/>
      <c r="E173" s="8"/>
      <c r="F173" s="7"/>
      <c r="G173" s="7"/>
      <c r="H173" s="7"/>
      <c r="I173" s="27"/>
      <c r="J173" s="27"/>
      <c r="K173" s="61">
        <v>0</v>
      </c>
      <c r="L173" s="8"/>
      <c r="M173" s="10"/>
    </row>
    <row r="174" spans="1:13" ht="39" x14ac:dyDescent="0.35">
      <c r="A174" s="94">
        <v>171</v>
      </c>
      <c r="B174" s="124"/>
      <c r="C174" s="128"/>
      <c r="D174" s="7"/>
      <c r="E174" s="8"/>
      <c r="F174" s="7"/>
      <c r="G174" s="7"/>
      <c r="H174" s="7"/>
      <c r="I174" s="27"/>
      <c r="J174" s="27"/>
      <c r="K174" s="61">
        <v>0</v>
      </c>
      <c r="L174" s="8"/>
      <c r="M174" s="10"/>
    </row>
    <row r="175" spans="1:13" ht="39" x14ac:dyDescent="0.35">
      <c r="A175" s="94">
        <v>172</v>
      </c>
      <c r="B175" s="124"/>
      <c r="C175" s="128"/>
      <c r="D175" s="7"/>
      <c r="E175" s="8"/>
      <c r="F175" s="7"/>
      <c r="G175" s="7"/>
      <c r="H175" s="7"/>
      <c r="I175" s="27"/>
      <c r="J175" s="27"/>
      <c r="K175" s="61">
        <v>0</v>
      </c>
      <c r="L175" s="8"/>
      <c r="M175" s="10"/>
    </row>
    <row r="176" spans="1:13" ht="39" x14ac:dyDescent="0.35">
      <c r="A176" s="94">
        <v>173</v>
      </c>
      <c r="B176" s="124"/>
      <c r="C176" s="128"/>
      <c r="D176" s="7"/>
      <c r="E176" s="8"/>
      <c r="F176" s="7"/>
      <c r="G176" s="7"/>
      <c r="H176" s="7"/>
      <c r="I176" s="27"/>
      <c r="J176" s="27"/>
      <c r="K176" s="61">
        <v>0</v>
      </c>
      <c r="L176" s="8"/>
      <c r="M176" s="10"/>
    </row>
    <row r="177" spans="1:13" ht="39" x14ac:dyDescent="0.35">
      <c r="A177" s="94">
        <v>174</v>
      </c>
      <c r="B177" s="124"/>
      <c r="C177" s="128"/>
      <c r="D177" s="7"/>
      <c r="E177" s="8"/>
      <c r="F177" s="7"/>
      <c r="G177" s="7"/>
      <c r="H177" s="7"/>
      <c r="I177" s="27"/>
      <c r="J177" s="27"/>
      <c r="K177" s="61">
        <v>0</v>
      </c>
      <c r="L177" s="8"/>
      <c r="M177" s="10"/>
    </row>
    <row r="178" spans="1:13" ht="39" x14ac:dyDescent="0.35">
      <c r="A178" s="94">
        <v>175</v>
      </c>
      <c r="B178" s="124"/>
      <c r="C178" s="128"/>
      <c r="D178" s="7"/>
      <c r="E178" s="8"/>
      <c r="F178" s="14"/>
      <c r="G178" s="14"/>
      <c r="H178" s="7"/>
      <c r="I178" s="27"/>
      <c r="J178" s="27"/>
      <c r="K178" s="61">
        <v>0</v>
      </c>
      <c r="L178" s="8"/>
      <c r="M178" s="10"/>
    </row>
    <row r="179" spans="1:13" ht="39" x14ac:dyDescent="0.35">
      <c r="A179" s="94">
        <v>176</v>
      </c>
      <c r="B179" s="124"/>
      <c r="C179" s="128"/>
      <c r="D179" s="7"/>
      <c r="E179" s="8"/>
      <c r="F179" s="7"/>
      <c r="G179" s="7"/>
      <c r="H179" s="7"/>
      <c r="I179" s="27"/>
      <c r="J179" s="27"/>
      <c r="K179" s="61">
        <v>0</v>
      </c>
      <c r="L179" s="8"/>
      <c r="M179" s="10"/>
    </row>
    <row r="180" spans="1:13" ht="39" x14ac:dyDescent="0.35">
      <c r="A180" s="94">
        <v>177</v>
      </c>
      <c r="B180" s="124"/>
      <c r="C180" s="128"/>
      <c r="D180" s="7"/>
      <c r="E180" s="8"/>
      <c r="F180" s="7"/>
      <c r="G180" s="7"/>
      <c r="H180" s="7"/>
      <c r="I180" s="27"/>
      <c r="J180" s="27"/>
      <c r="K180" s="61">
        <v>0</v>
      </c>
      <c r="L180" s="8"/>
      <c r="M180" s="10"/>
    </row>
    <row r="181" spans="1:13" ht="39" x14ac:dyDescent="0.35">
      <c r="A181" s="94">
        <v>178</v>
      </c>
      <c r="B181" s="124"/>
      <c r="C181" s="128"/>
      <c r="D181" s="7"/>
      <c r="E181" s="8"/>
      <c r="F181" s="7"/>
      <c r="G181" s="7"/>
      <c r="H181" s="7"/>
      <c r="I181" s="27"/>
      <c r="J181" s="27"/>
      <c r="K181" s="61">
        <v>0</v>
      </c>
      <c r="L181" s="8"/>
      <c r="M181" s="10"/>
    </row>
    <row r="182" spans="1:13" ht="39" x14ac:dyDescent="0.35">
      <c r="A182" s="94">
        <v>179</v>
      </c>
      <c r="B182" s="124"/>
      <c r="C182" s="128"/>
      <c r="D182" s="7"/>
      <c r="E182" s="8"/>
      <c r="F182" s="14"/>
      <c r="G182" s="14"/>
      <c r="H182" s="7"/>
      <c r="I182" s="27"/>
      <c r="J182" s="27"/>
      <c r="K182" s="61">
        <v>0</v>
      </c>
      <c r="L182" s="8"/>
      <c r="M182" s="10"/>
    </row>
    <row r="183" spans="1:13" ht="39" x14ac:dyDescent="0.35">
      <c r="A183" s="94">
        <v>180</v>
      </c>
      <c r="B183" s="124"/>
      <c r="C183" s="128"/>
      <c r="D183" s="7"/>
      <c r="E183" s="8"/>
      <c r="F183" s="7"/>
      <c r="G183" s="7"/>
      <c r="H183" s="7"/>
      <c r="I183" s="27"/>
      <c r="J183" s="27"/>
      <c r="K183" s="61">
        <v>0</v>
      </c>
      <c r="L183" s="8"/>
      <c r="M183" s="10"/>
    </row>
    <row r="184" spans="1:13" ht="39" x14ac:dyDescent="0.35">
      <c r="A184" s="94">
        <v>181</v>
      </c>
      <c r="B184" s="124"/>
      <c r="C184" s="128"/>
      <c r="D184" s="7"/>
      <c r="E184" s="8"/>
      <c r="F184" s="7"/>
      <c r="G184" s="7"/>
      <c r="H184" s="7"/>
      <c r="I184" s="27"/>
      <c r="J184" s="27"/>
      <c r="K184" s="61">
        <v>0</v>
      </c>
      <c r="L184" s="8"/>
      <c r="M184" s="10"/>
    </row>
    <row r="185" spans="1:13" ht="26" x14ac:dyDescent="0.35">
      <c r="A185" s="94">
        <v>182</v>
      </c>
      <c r="B185" s="124"/>
      <c r="C185" s="128"/>
      <c r="D185" s="7"/>
      <c r="E185" s="8"/>
      <c r="F185" s="7"/>
      <c r="G185" s="7"/>
      <c r="H185" s="7"/>
      <c r="I185" s="27"/>
      <c r="J185" s="27"/>
      <c r="K185" s="61">
        <v>0</v>
      </c>
      <c r="L185" s="8"/>
      <c r="M185" s="10"/>
    </row>
    <row r="186" spans="1:13" ht="26" x14ac:dyDescent="0.35">
      <c r="A186" s="94">
        <v>183</v>
      </c>
      <c r="B186" s="124"/>
      <c r="C186" s="128"/>
      <c r="D186" s="7"/>
      <c r="E186" s="8"/>
      <c r="F186" s="7"/>
      <c r="G186" s="7"/>
      <c r="H186" s="7"/>
      <c r="I186" s="27"/>
      <c r="J186" s="27"/>
      <c r="K186" s="61">
        <v>0</v>
      </c>
      <c r="L186" s="8"/>
      <c r="M186" s="10"/>
    </row>
    <row r="187" spans="1:13" ht="26" x14ac:dyDescent="0.35">
      <c r="A187" s="94">
        <v>184</v>
      </c>
      <c r="B187" s="124"/>
      <c r="C187" s="128"/>
      <c r="D187" s="7"/>
      <c r="E187" s="8"/>
      <c r="F187" s="7"/>
      <c r="G187" s="7"/>
      <c r="H187" s="7"/>
      <c r="I187" s="27"/>
      <c r="J187" s="27"/>
      <c r="K187" s="61">
        <v>0</v>
      </c>
      <c r="L187" s="8"/>
      <c r="M187" s="10"/>
    </row>
    <row r="188" spans="1:13" ht="26" x14ac:dyDescent="0.35">
      <c r="A188" s="94">
        <v>185</v>
      </c>
      <c r="B188" s="124"/>
      <c r="C188" s="128"/>
      <c r="D188" s="7"/>
      <c r="E188" s="8"/>
      <c r="F188" s="7"/>
      <c r="G188" s="7"/>
      <c r="H188" s="7"/>
      <c r="I188" s="27"/>
      <c r="J188" s="27"/>
      <c r="K188" s="61">
        <v>0</v>
      </c>
      <c r="L188" s="8"/>
      <c r="M188" s="10"/>
    </row>
    <row r="189" spans="1:13" ht="26" x14ac:dyDescent="0.35">
      <c r="A189" s="94">
        <v>186</v>
      </c>
      <c r="B189" s="124"/>
      <c r="C189" s="128"/>
      <c r="D189" s="7"/>
      <c r="E189" s="8"/>
      <c r="F189" s="7"/>
      <c r="G189" s="7"/>
      <c r="H189" s="7"/>
      <c r="I189" s="27"/>
      <c r="J189" s="27"/>
      <c r="K189" s="61">
        <v>0</v>
      </c>
      <c r="L189" s="8"/>
      <c r="M189" s="10"/>
    </row>
    <row r="190" spans="1:13" ht="26" x14ac:dyDescent="0.35">
      <c r="A190" s="94">
        <v>187</v>
      </c>
      <c r="B190" s="124"/>
      <c r="C190" s="128"/>
      <c r="D190" s="7"/>
      <c r="E190" s="8"/>
      <c r="F190" s="7"/>
      <c r="G190" s="7"/>
      <c r="H190" s="7"/>
      <c r="I190" s="27"/>
      <c r="J190" s="27"/>
      <c r="K190" s="61">
        <v>0</v>
      </c>
      <c r="L190" s="8"/>
      <c r="M190" s="10"/>
    </row>
    <row r="191" spans="1:13" ht="26" x14ac:dyDescent="0.35">
      <c r="A191" s="94">
        <v>188</v>
      </c>
      <c r="B191" s="124"/>
      <c r="C191" s="128"/>
      <c r="D191" s="7"/>
      <c r="E191" s="8"/>
      <c r="F191" s="7"/>
      <c r="G191" s="7"/>
      <c r="H191" s="7"/>
      <c r="I191" s="27"/>
      <c r="J191" s="27"/>
      <c r="K191" s="61">
        <v>0</v>
      </c>
      <c r="L191" s="8"/>
      <c r="M191" s="10"/>
    </row>
    <row r="192" spans="1:13" ht="26" x14ac:dyDescent="0.35">
      <c r="A192" s="94">
        <v>189</v>
      </c>
      <c r="B192" s="124"/>
      <c r="C192" s="128"/>
      <c r="D192" s="7"/>
      <c r="E192" s="8"/>
      <c r="F192" s="7"/>
      <c r="G192" s="7"/>
      <c r="H192" s="7"/>
      <c r="I192" s="27"/>
      <c r="J192" s="27"/>
      <c r="K192" s="61">
        <v>0</v>
      </c>
      <c r="L192" s="8"/>
      <c r="M192" s="10"/>
    </row>
    <row r="193" spans="1:13" ht="26" x14ac:dyDescent="0.35">
      <c r="A193" s="94">
        <v>190</v>
      </c>
      <c r="B193" s="124"/>
      <c r="C193" s="128"/>
      <c r="D193" s="7"/>
      <c r="E193" s="8"/>
      <c r="F193" s="14"/>
      <c r="G193" s="14"/>
      <c r="H193" s="7"/>
      <c r="I193" s="27"/>
      <c r="J193" s="27"/>
      <c r="K193" s="61">
        <v>0</v>
      </c>
      <c r="L193" s="8"/>
      <c r="M193" s="10"/>
    </row>
    <row r="194" spans="1:13" ht="26" x14ac:dyDescent="0.35">
      <c r="A194" s="94">
        <v>191</v>
      </c>
      <c r="B194" s="124"/>
      <c r="C194" s="128"/>
      <c r="D194" s="7"/>
      <c r="E194" s="8"/>
      <c r="F194" s="7"/>
      <c r="G194" s="7"/>
      <c r="H194" s="7"/>
      <c r="I194" s="27"/>
      <c r="J194" s="27"/>
      <c r="K194" s="61">
        <v>0</v>
      </c>
      <c r="L194" s="8"/>
      <c r="M194" s="10"/>
    </row>
    <row r="195" spans="1:13" ht="26" x14ac:dyDescent="0.35">
      <c r="A195" s="94">
        <v>192</v>
      </c>
      <c r="B195" s="124"/>
      <c r="C195" s="128"/>
      <c r="D195" s="7"/>
      <c r="E195" s="8"/>
      <c r="F195" s="7"/>
      <c r="G195" s="7"/>
      <c r="H195" s="7"/>
      <c r="I195" s="27"/>
      <c r="J195" s="27"/>
      <c r="K195" s="61">
        <v>0</v>
      </c>
      <c r="L195" s="8"/>
      <c r="M195" s="10"/>
    </row>
    <row r="196" spans="1:13" ht="26" x14ac:dyDescent="0.35">
      <c r="A196" s="94">
        <v>193</v>
      </c>
      <c r="B196" s="124"/>
      <c r="C196" s="128"/>
      <c r="D196" s="7"/>
      <c r="E196" s="8"/>
      <c r="F196" s="14"/>
      <c r="G196" s="14"/>
      <c r="H196" s="7"/>
      <c r="I196" s="27"/>
      <c r="J196" s="27"/>
      <c r="K196" s="61">
        <v>0</v>
      </c>
      <c r="L196" s="8"/>
      <c r="M196" s="10"/>
    </row>
    <row r="197" spans="1:13" ht="26" x14ac:dyDescent="0.35">
      <c r="A197" s="94">
        <v>194</v>
      </c>
      <c r="B197" s="124"/>
      <c r="C197" s="128"/>
      <c r="D197" s="7"/>
      <c r="E197" s="8"/>
      <c r="F197" s="7"/>
      <c r="G197" s="7"/>
      <c r="H197" s="7"/>
      <c r="I197" s="27"/>
      <c r="J197" s="27"/>
      <c r="K197" s="61">
        <v>0</v>
      </c>
      <c r="L197" s="8"/>
      <c r="M197" s="10"/>
    </row>
    <row r="198" spans="1:13" ht="26" x14ac:dyDescent="0.35">
      <c r="A198" s="94">
        <v>195</v>
      </c>
      <c r="B198" s="124"/>
      <c r="C198" s="128"/>
      <c r="D198" s="7"/>
      <c r="E198" s="8"/>
      <c r="F198" s="14"/>
      <c r="G198" s="14"/>
      <c r="H198" s="7"/>
      <c r="I198" s="27"/>
      <c r="J198" s="27"/>
      <c r="K198" s="61">
        <v>0</v>
      </c>
      <c r="L198" s="8"/>
      <c r="M198" s="10"/>
    </row>
    <row r="199" spans="1:13" ht="26" x14ac:dyDescent="0.35">
      <c r="A199" s="94">
        <v>196</v>
      </c>
      <c r="B199" s="124"/>
      <c r="C199" s="128"/>
      <c r="D199" s="7"/>
      <c r="E199" s="8"/>
      <c r="F199" s="7"/>
      <c r="G199" s="7"/>
      <c r="H199" s="7"/>
      <c r="I199" s="27"/>
      <c r="J199" s="27"/>
      <c r="K199" s="61">
        <v>0</v>
      </c>
      <c r="L199" s="8"/>
      <c r="M199" s="10"/>
    </row>
    <row r="200" spans="1:13" ht="26" x14ac:dyDescent="0.35">
      <c r="A200" s="94">
        <v>197</v>
      </c>
      <c r="B200" s="124"/>
      <c r="C200" s="128"/>
      <c r="D200" s="7"/>
      <c r="E200" s="8"/>
      <c r="F200" s="7"/>
      <c r="G200" s="7"/>
      <c r="H200" s="7"/>
      <c r="I200" s="27"/>
      <c r="J200" s="27"/>
      <c r="K200" s="61">
        <v>0</v>
      </c>
      <c r="L200" s="8"/>
      <c r="M200" s="10"/>
    </row>
    <row r="201" spans="1:13" ht="26" x14ac:dyDescent="0.35">
      <c r="A201" s="94">
        <v>198</v>
      </c>
      <c r="B201" s="124"/>
      <c r="C201" s="128"/>
      <c r="D201" s="7"/>
      <c r="E201" s="8"/>
      <c r="F201" s="7"/>
      <c r="G201" s="7"/>
      <c r="H201" s="7"/>
      <c r="I201" s="27"/>
      <c r="J201" s="27"/>
      <c r="K201" s="61">
        <v>0</v>
      </c>
      <c r="L201" s="8"/>
      <c r="M201" s="10"/>
    </row>
    <row r="202" spans="1:13" ht="26" x14ac:dyDescent="0.35">
      <c r="A202" s="94">
        <v>199</v>
      </c>
      <c r="B202" s="124"/>
      <c r="C202" s="128"/>
      <c r="D202" s="7"/>
      <c r="E202" s="8"/>
      <c r="F202" s="7"/>
      <c r="G202" s="7"/>
      <c r="H202" s="7"/>
      <c r="I202" s="27"/>
      <c r="J202" s="27"/>
      <c r="K202" s="61">
        <v>0</v>
      </c>
      <c r="L202" s="8"/>
      <c r="M202" s="10"/>
    </row>
    <row r="203" spans="1:13" ht="26" x14ac:dyDescent="0.35">
      <c r="A203" s="94">
        <v>200</v>
      </c>
      <c r="B203" s="124"/>
      <c r="C203" s="128"/>
      <c r="D203" s="7"/>
      <c r="E203" s="8"/>
      <c r="F203" s="7"/>
      <c r="G203" s="7"/>
      <c r="H203" s="7"/>
      <c r="I203" s="27"/>
      <c r="J203" s="27"/>
      <c r="K203" s="61">
        <v>0</v>
      </c>
      <c r="L203" s="8"/>
      <c r="M203" s="10"/>
    </row>
    <row r="204" spans="1:13" ht="26" x14ac:dyDescent="0.35">
      <c r="A204" s="94">
        <v>201</v>
      </c>
      <c r="B204" s="124"/>
      <c r="C204" s="128"/>
      <c r="D204" s="7"/>
      <c r="E204" s="8"/>
      <c r="F204" s="7"/>
      <c r="G204" s="7"/>
      <c r="H204" s="7"/>
      <c r="I204" s="27"/>
      <c r="J204" s="27"/>
      <c r="K204" s="61">
        <v>0</v>
      </c>
      <c r="L204" s="8"/>
      <c r="M204" s="10"/>
    </row>
    <row r="205" spans="1:13" ht="26" x14ac:dyDescent="0.35">
      <c r="A205" s="94">
        <v>202</v>
      </c>
      <c r="B205" s="124"/>
      <c r="C205" s="128"/>
      <c r="D205" s="7"/>
      <c r="E205" s="8"/>
      <c r="F205" s="7"/>
      <c r="G205" s="7"/>
      <c r="H205" s="7"/>
      <c r="I205" s="27"/>
      <c r="J205" s="27"/>
      <c r="K205" s="61">
        <v>0</v>
      </c>
      <c r="L205" s="8"/>
      <c r="M205" s="10"/>
    </row>
    <row r="206" spans="1:13" ht="26" x14ac:dyDescent="0.35">
      <c r="A206" s="94">
        <v>203</v>
      </c>
      <c r="B206" s="124"/>
      <c r="C206" s="128"/>
      <c r="D206" s="7"/>
      <c r="E206" s="8"/>
      <c r="F206" s="7"/>
      <c r="G206" s="7"/>
      <c r="H206" s="7"/>
      <c r="I206" s="27"/>
      <c r="J206" s="27"/>
      <c r="K206" s="61">
        <v>0</v>
      </c>
      <c r="L206" s="8"/>
      <c r="M206" s="10"/>
    </row>
    <row r="207" spans="1:13" ht="26" x14ac:dyDescent="0.35">
      <c r="A207" s="94">
        <v>204</v>
      </c>
      <c r="B207" s="124"/>
      <c r="C207" s="128"/>
      <c r="D207" s="7"/>
      <c r="E207" s="8"/>
      <c r="F207" s="7"/>
      <c r="G207" s="7"/>
      <c r="H207" s="7"/>
      <c r="I207" s="27"/>
      <c r="J207" s="27"/>
      <c r="K207" s="61">
        <v>0</v>
      </c>
      <c r="L207" s="8"/>
      <c r="M207" s="10"/>
    </row>
    <row r="208" spans="1:13" ht="26" x14ac:dyDescent="0.35">
      <c r="A208" s="94">
        <v>205</v>
      </c>
      <c r="B208" s="124"/>
      <c r="C208" s="128"/>
      <c r="D208" s="7"/>
      <c r="E208" s="8"/>
      <c r="F208" s="7"/>
      <c r="G208" s="7"/>
      <c r="H208" s="7"/>
      <c r="I208" s="27"/>
      <c r="J208" s="27"/>
      <c r="K208" s="61">
        <v>0</v>
      </c>
      <c r="L208" s="8"/>
      <c r="M208" s="10"/>
    </row>
    <row r="209" spans="1:13" ht="26" x14ac:dyDescent="0.35">
      <c r="A209" s="94">
        <v>206</v>
      </c>
      <c r="B209" s="124"/>
      <c r="C209" s="128"/>
      <c r="D209" s="7"/>
      <c r="E209" s="8"/>
      <c r="F209" s="14"/>
      <c r="G209" s="14"/>
      <c r="H209" s="7"/>
      <c r="I209" s="27"/>
      <c r="J209" s="27"/>
      <c r="K209" s="61">
        <v>0</v>
      </c>
      <c r="L209" s="8"/>
      <c r="M209" s="10"/>
    </row>
    <row r="210" spans="1:13" ht="39" x14ac:dyDescent="0.35">
      <c r="A210" s="94">
        <v>207</v>
      </c>
      <c r="B210" s="124"/>
      <c r="C210" s="128"/>
      <c r="D210" s="7"/>
      <c r="E210" s="8"/>
      <c r="F210" s="7"/>
      <c r="G210" s="7"/>
      <c r="H210" s="7"/>
      <c r="I210" s="27"/>
      <c r="J210" s="27"/>
      <c r="K210" s="61">
        <v>0</v>
      </c>
      <c r="L210" s="8"/>
      <c r="M210" s="10"/>
    </row>
    <row r="211" spans="1:13" ht="39" x14ac:dyDescent="0.35">
      <c r="A211" s="94">
        <v>208</v>
      </c>
      <c r="B211" s="124"/>
      <c r="C211" s="128"/>
      <c r="D211" s="7"/>
      <c r="E211" s="8"/>
      <c r="F211" s="7"/>
      <c r="G211" s="7"/>
      <c r="H211" s="7"/>
      <c r="I211" s="27"/>
      <c r="J211" s="27"/>
      <c r="K211" s="61">
        <v>0</v>
      </c>
      <c r="L211" s="8"/>
      <c r="M211" s="10"/>
    </row>
    <row r="212" spans="1:13" ht="39" x14ac:dyDescent="0.35">
      <c r="A212" s="94">
        <v>209</v>
      </c>
      <c r="B212" s="124"/>
      <c r="C212" s="128"/>
      <c r="D212" s="7"/>
      <c r="E212" s="8"/>
      <c r="F212" s="7"/>
      <c r="G212" s="7"/>
      <c r="H212" s="7"/>
      <c r="I212" s="27"/>
      <c r="J212" s="27"/>
      <c r="K212" s="61">
        <v>0</v>
      </c>
      <c r="L212" s="8"/>
      <c r="M212" s="10"/>
    </row>
    <row r="213" spans="1:13" ht="39" x14ac:dyDescent="0.35">
      <c r="A213" s="94">
        <v>210</v>
      </c>
      <c r="B213" s="124"/>
      <c r="C213" s="128"/>
      <c r="D213" s="7"/>
      <c r="E213" s="8"/>
      <c r="F213" s="7"/>
      <c r="G213" s="7"/>
      <c r="H213" s="7"/>
      <c r="I213" s="27"/>
      <c r="J213" s="27"/>
      <c r="K213" s="61">
        <v>0</v>
      </c>
      <c r="L213" s="8"/>
      <c r="M213" s="10"/>
    </row>
    <row r="214" spans="1:13" ht="39" x14ac:dyDescent="0.35">
      <c r="A214" s="94">
        <v>211</v>
      </c>
      <c r="B214" s="124"/>
      <c r="C214" s="128"/>
      <c r="D214" s="7"/>
      <c r="E214" s="8"/>
      <c r="F214" s="7"/>
      <c r="G214" s="7"/>
      <c r="H214" s="7"/>
      <c r="I214" s="27"/>
      <c r="J214" s="27"/>
      <c r="K214" s="61">
        <v>0</v>
      </c>
      <c r="L214" s="8"/>
      <c r="M214" s="10"/>
    </row>
    <row r="215" spans="1:13" ht="39" x14ac:dyDescent="0.35">
      <c r="A215" s="94">
        <v>212</v>
      </c>
      <c r="B215" s="124"/>
      <c r="C215" s="128"/>
      <c r="D215" s="7"/>
      <c r="E215" s="8"/>
      <c r="F215" s="7"/>
      <c r="G215" s="7"/>
      <c r="H215" s="7"/>
      <c r="I215" s="27"/>
      <c r="J215" s="27"/>
      <c r="K215" s="61">
        <v>0</v>
      </c>
      <c r="L215" s="8"/>
      <c r="M215" s="10"/>
    </row>
    <row r="216" spans="1:13" ht="39" x14ac:dyDescent="0.35">
      <c r="A216" s="94">
        <v>213</v>
      </c>
      <c r="B216" s="124"/>
      <c r="C216" s="128"/>
      <c r="D216" s="7"/>
      <c r="E216" s="8"/>
      <c r="F216" s="7"/>
      <c r="G216" s="7"/>
      <c r="H216" s="7"/>
      <c r="I216" s="27"/>
      <c r="J216" s="27"/>
      <c r="K216" s="61">
        <v>0</v>
      </c>
      <c r="L216" s="8"/>
      <c r="M216" s="10"/>
    </row>
    <row r="217" spans="1:13" ht="39" x14ac:dyDescent="0.35">
      <c r="A217" s="94">
        <v>214</v>
      </c>
      <c r="B217" s="124"/>
      <c r="C217" s="128"/>
      <c r="D217" s="7"/>
      <c r="E217" s="8"/>
      <c r="F217" s="7"/>
      <c r="G217" s="7"/>
      <c r="H217" s="7"/>
      <c r="I217" s="27"/>
      <c r="J217" s="27"/>
      <c r="K217" s="61">
        <v>0</v>
      </c>
      <c r="L217" s="8"/>
      <c r="M217" s="10"/>
    </row>
    <row r="218" spans="1:13" ht="39" x14ac:dyDescent="0.35">
      <c r="A218" s="94">
        <v>215</v>
      </c>
      <c r="B218" s="124"/>
      <c r="C218" s="128"/>
      <c r="D218" s="7"/>
      <c r="E218" s="8"/>
      <c r="F218" s="7"/>
      <c r="G218" s="7"/>
      <c r="H218" s="7"/>
      <c r="I218" s="27"/>
      <c r="J218" s="27"/>
      <c r="K218" s="61">
        <v>0</v>
      </c>
      <c r="L218" s="8"/>
      <c r="M218" s="10"/>
    </row>
    <row r="219" spans="1:13" ht="39" x14ac:dyDescent="0.35">
      <c r="A219" s="94">
        <v>216</v>
      </c>
      <c r="B219" s="124"/>
      <c r="C219" s="128"/>
      <c r="D219" s="7"/>
      <c r="E219" s="8"/>
      <c r="F219" s="14"/>
      <c r="G219" s="14"/>
      <c r="H219" s="7"/>
      <c r="I219" s="27"/>
      <c r="J219" s="27"/>
      <c r="K219" s="61">
        <v>0</v>
      </c>
      <c r="L219" s="8"/>
      <c r="M219" s="10"/>
    </row>
    <row r="220" spans="1:13" ht="39" x14ac:dyDescent="0.35">
      <c r="A220" s="94">
        <v>217</v>
      </c>
      <c r="B220" s="124"/>
      <c r="C220" s="128"/>
      <c r="D220" s="7"/>
      <c r="E220" s="8"/>
      <c r="F220" s="7"/>
      <c r="G220" s="7"/>
      <c r="H220" s="7"/>
      <c r="I220" s="27"/>
      <c r="J220" s="27"/>
      <c r="K220" s="61">
        <v>0</v>
      </c>
      <c r="L220" s="8"/>
      <c r="M220" s="10"/>
    </row>
    <row r="221" spans="1:13" ht="39" x14ac:dyDescent="0.35">
      <c r="A221" s="94">
        <v>218</v>
      </c>
      <c r="B221" s="124"/>
      <c r="C221" s="128"/>
      <c r="D221" s="7"/>
      <c r="E221" s="8"/>
      <c r="F221" s="7"/>
      <c r="G221" s="7"/>
      <c r="H221" s="7"/>
      <c r="I221" s="27"/>
      <c r="J221" s="27"/>
      <c r="K221" s="61">
        <v>0</v>
      </c>
      <c r="L221" s="8"/>
      <c r="M221" s="10"/>
    </row>
    <row r="222" spans="1:13" ht="39" x14ac:dyDescent="0.35">
      <c r="A222" s="94">
        <v>219</v>
      </c>
      <c r="B222" s="124"/>
      <c r="C222" s="128"/>
      <c r="D222" s="7"/>
      <c r="E222" s="8"/>
      <c r="F222" s="7"/>
      <c r="G222" s="7"/>
      <c r="H222" s="7"/>
      <c r="I222" s="27"/>
      <c r="J222" s="27"/>
      <c r="K222" s="61">
        <v>0</v>
      </c>
      <c r="L222" s="8"/>
      <c r="M222" s="10"/>
    </row>
    <row r="223" spans="1:13" ht="39" x14ac:dyDescent="0.35">
      <c r="A223" s="94">
        <v>220</v>
      </c>
      <c r="B223" s="124"/>
      <c r="C223" s="128"/>
      <c r="D223" s="7"/>
      <c r="E223" s="8"/>
      <c r="F223" s="7"/>
      <c r="G223" s="7"/>
      <c r="H223" s="7"/>
      <c r="I223" s="27"/>
      <c r="J223" s="27"/>
      <c r="K223" s="61">
        <v>0</v>
      </c>
      <c r="L223" s="8"/>
      <c r="M223" s="10"/>
    </row>
    <row r="224" spans="1:13" ht="39" x14ac:dyDescent="0.35">
      <c r="A224" s="94">
        <v>221</v>
      </c>
      <c r="B224" s="124"/>
      <c r="C224" s="128"/>
      <c r="D224" s="7"/>
      <c r="E224" s="8"/>
      <c r="F224" s="7"/>
      <c r="G224" s="7"/>
      <c r="H224" s="7"/>
      <c r="I224" s="27"/>
      <c r="J224" s="27"/>
      <c r="K224" s="61">
        <v>0</v>
      </c>
      <c r="L224" s="8"/>
      <c r="M224" s="10"/>
    </row>
    <row r="225" spans="1:13" ht="39" x14ac:dyDescent="0.35">
      <c r="A225" s="94">
        <v>222</v>
      </c>
      <c r="B225" s="124"/>
      <c r="C225" s="128"/>
      <c r="D225" s="7"/>
      <c r="E225" s="8"/>
      <c r="F225" s="7"/>
      <c r="G225" s="7"/>
      <c r="H225" s="7"/>
      <c r="I225" s="27"/>
      <c r="J225" s="27"/>
      <c r="K225" s="61">
        <v>0</v>
      </c>
      <c r="L225" s="8"/>
      <c r="M225" s="10"/>
    </row>
    <row r="226" spans="1:13" ht="39" x14ac:dyDescent="0.35">
      <c r="A226" s="94">
        <v>223</v>
      </c>
      <c r="B226" s="124"/>
      <c r="C226" s="128"/>
      <c r="D226" s="7"/>
      <c r="E226" s="8"/>
      <c r="F226" s="14"/>
      <c r="G226" s="14"/>
      <c r="H226" s="7"/>
      <c r="I226" s="27"/>
      <c r="J226" s="27"/>
      <c r="K226" s="61">
        <v>0</v>
      </c>
      <c r="L226" s="8"/>
      <c r="M226" s="10"/>
    </row>
    <row r="227" spans="1:13" ht="39" x14ac:dyDescent="0.35">
      <c r="A227" s="94">
        <v>224</v>
      </c>
      <c r="B227" s="124"/>
      <c r="C227" s="128"/>
      <c r="D227" s="7"/>
      <c r="E227" s="8"/>
      <c r="F227" s="7"/>
      <c r="G227" s="7"/>
      <c r="H227" s="7"/>
      <c r="I227" s="27"/>
      <c r="J227" s="27"/>
      <c r="K227" s="61">
        <v>0</v>
      </c>
      <c r="L227" s="8"/>
      <c r="M227" s="10"/>
    </row>
    <row r="228" spans="1:13" ht="39" x14ac:dyDescent="0.35">
      <c r="A228" s="94">
        <v>225</v>
      </c>
      <c r="B228" s="124"/>
      <c r="C228" s="128"/>
      <c r="D228" s="7"/>
      <c r="E228" s="8"/>
      <c r="F228" s="7"/>
      <c r="G228" s="7"/>
      <c r="H228" s="7"/>
      <c r="I228" s="27"/>
      <c r="J228" s="27"/>
      <c r="K228" s="61">
        <v>0</v>
      </c>
      <c r="L228" s="8"/>
      <c r="M228" s="10"/>
    </row>
    <row r="229" spans="1:13" ht="39" x14ac:dyDescent="0.35">
      <c r="A229" s="94">
        <v>226</v>
      </c>
      <c r="B229" s="124"/>
      <c r="C229" s="128"/>
      <c r="D229" s="7"/>
      <c r="E229" s="8"/>
      <c r="F229" s="7"/>
      <c r="G229" s="7"/>
      <c r="H229" s="7"/>
      <c r="I229" s="27"/>
      <c r="J229" s="27"/>
      <c r="K229" s="61">
        <v>0</v>
      </c>
      <c r="L229" s="8"/>
      <c r="M229" s="10"/>
    </row>
    <row r="230" spans="1:13" ht="39" x14ac:dyDescent="0.35">
      <c r="A230" s="94">
        <v>227</v>
      </c>
      <c r="B230" s="124"/>
      <c r="C230" s="128"/>
      <c r="D230" s="7"/>
      <c r="E230" s="8"/>
      <c r="F230" s="7"/>
      <c r="G230" s="7"/>
      <c r="H230" s="7"/>
      <c r="I230" s="27"/>
      <c r="J230" s="27"/>
      <c r="K230" s="61">
        <v>0</v>
      </c>
      <c r="L230" s="8"/>
      <c r="M230" s="10"/>
    </row>
    <row r="231" spans="1:13" ht="39" x14ac:dyDescent="0.35">
      <c r="A231" s="94">
        <v>228</v>
      </c>
      <c r="B231" s="124"/>
      <c r="C231" s="128"/>
      <c r="D231" s="7"/>
      <c r="E231" s="8"/>
      <c r="F231" s="7"/>
      <c r="G231" s="7"/>
      <c r="H231" s="7"/>
      <c r="I231" s="27"/>
      <c r="J231" s="27"/>
      <c r="K231" s="61">
        <v>0</v>
      </c>
      <c r="L231" s="8"/>
      <c r="M231" s="10"/>
    </row>
    <row r="232" spans="1:13" ht="39" x14ac:dyDescent="0.35">
      <c r="A232" s="94">
        <v>229</v>
      </c>
      <c r="B232" s="124"/>
      <c r="C232" s="128"/>
      <c r="D232" s="7"/>
      <c r="E232" s="8"/>
      <c r="F232" s="14"/>
      <c r="G232" s="14"/>
      <c r="H232" s="7"/>
      <c r="I232" s="27"/>
      <c r="J232" s="27"/>
      <c r="K232" s="61">
        <v>0</v>
      </c>
      <c r="L232" s="8"/>
      <c r="M232" s="10"/>
    </row>
    <row r="233" spans="1:13" ht="39" x14ac:dyDescent="0.35">
      <c r="A233" s="94">
        <v>230</v>
      </c>
      <c r="B233" s="124"/>
      <c r="C233" s="128"/>
      <c r="D233" s="7"/>
      <c r="E233" s="8"/>
      <c r="F233" s="7"/>
      <c r="G233" s="7"/>
      <c r="H233" s="7"/>
      <c r="I233" s="27"/>
      <c r="J233" s="27"/>
      <c r="K233" s="61">
        <v>0</v>
      </c>
      <c r="L233" s="8"/>
      <c r="M233" s="10"/>
    </row>
    <row r="234" spans="1:13" ht="39" x14ac:dyDescent="0.35">
      <c r="A234" s="94">
        <v>231</v>
      </c>
      <c r="B234" s="124"/>
      <c r="C234" s="128"/>
      <c r="D234" s="7"/>
      <c r="E234" s="8"/>
      <c r="F234" s="7"/>
      <c r="G234" s="7"/>
      <c r="H234" s="7"/>
      <c r="I234" s="27"/>
      <c r="J234" s="27"/>
      <c r="K234" s="61">
        <v>0</v>
      </c>
      <c r="L234" s="8"/>
      <c r="M234" s="10"/>
    </row>
    <row r="235" spans="1:13" ht="39" x14ac:dyDescent="0.35">
      <c r="A235" s="94">
        <v>232</v>
      </c>
      <c r="B235" s="124"/>
      <c r="C235" s="128"/>
      <c r="D235" s="7"/>
      <c r="E235" s="8"/>
      <c r="F235" s="7"/>
      <c r="G235" s="7"/>
      <c r="H235" s="7"/>
      <c r="I235" s="27"/>
      <c r="J235" s="27"/>
      <c r="K235" s="61">
        <v>0</v>
      </c>
      <c r="L235" s="8"/>
      <c r="M235" s="10"/>
    </row>
    <row r="236" spans="1:13" ht="39" x14ac:dyDescent="0.35">
      <c r="A236" s="94">
        <v>233</v>
      </c>
      <c r="B236" s="124"/>
      <c r="C236" s="128"/>
      <c r="D236" s="7"/>
      <c r="E236" s="8"/>
      <c r="F236" s="14"/>
      <c r="G236" s="14"/>
      <c r="H236" s="7"/>
      <c r="I236" s="27"/>
      <c r="J236" s="27"/>
      <c r="K236" s="61">
        <v>0</v>
      </c>
      <c r="L236" s="8"/>
      <c r="M236" s="10"/>
    </row>
    <row r="237" spans="1:13" ht="39" x14ac:dyDescent="0.35">
      <c r="A237" s="94">
        <v>234</v>
      </c>
      <c r="B237" s="124"/>
      <c r="C237" s="128"/>
      <c r="D237" s="7"/>
      <c r="E237" s="8"/>
      <c r="F237" s="7"/>
      <c r="G237" s="7"/>
      <c r="H237" s="7"/>
      <c r="I237" s="27"/>
      <c r="J237" s="27"/>
      <c r="K237" s="61">
        <v>0</v>
      </c>
      <c r="L237" s="8"/>
      <c r="M237" s="10"/>
    </row>
    <row r="238" spans="1:13" ht="39" x14ac:dyDescent="0.35">
      <c r="A238" s="94">
        <v>235</v>
      </c>
      <c r="B238" s="124"/>
      <c r="C238" s="128"/>
      <c r="D238" s="7"/>
      <c r="E238" s="8"/>
      <c r="F238" s="7"/>
      <c r="G238" s="7"/>
      <c r="H238" s="7"/>
      <c r="I238" s="27"/>
      <c r="J238" s="27"/>
      <c r="K238" s="61">
        <v>0</v>
      </c>
      <c r="L238" s="8"/>
      <c r="M238" s="10"/>
    </row>
    <row r="239" spans="1:13" ht="39" x14ac:dyDescent="0.35">
      <c r="A239" s="94">
        <v>236</v>
      </c>
      <c r="B239" s="124"/>
      <c r="C239" s="128"/>
      <c r="D239" s="7"/>
      <c r="E239" s="8"/>
      <c r="F239" s="7"/>
      <c r="G239" s="7"/>
      <c r="H239" s="7"/>
      <c r="I239" s="27"/>
      <c r="J239" s="27"/>
      <c r="K239" s="61">
        <v>0</v>
      </c>
      <c r="L239" s="8"/>
      <c r="M239" s="10"/>
    </row>
    <row r="240" spans="1:13" ht="39" x14ac:dyDescent="0.35">
      <c r="A240" s="94">
        <v>237</v>
      </c>
      <c r="B240" s="124"/>
      <c r="C240" s="128"/>
      <c r="D240" s="7"/>
      <c r="E240" s="8"/>
      <c r="F240" s="7"/>
      <c r="G240" s="7"/>
      <c r="H240" s="7"/>
      <c r="I240" s="27"/>
      <c r="J240" s="27"/>
      <c r="K240" s="61">
        <v>0</v>
      </c>
      <c r="L240" s="8"/>
      <c r="M240" s="10"/>
    </row>
    <row r="241" spans="1:13" ht="39" x14ac:dyDescent="0.35">
      <c r="A241" s="94">
        <v>238</v>
      </c>
      <c r="B241" s="124"/>
      <c r="C241" s="128"/>
      <c r="D241" s="7"/>
      <c r="E241" s="8"/>
      <c r="F241" s="7"/>
      <c r="G241" s="7"/>
      <c r="H241" s="7"/>
      <c r="I241" s="27"/>
      <c r="J241" s="27"/>
      <c r="K241" s="61">
        <v>0</v>
      </c>
      <c r="L241" s="8"/>
      <c r="M241" s="10"/>
    </row>
    <row r="242" spans="1:13" ht="39" x14ac:dyDescent="0.35">
      <c r="A242" s="94">
        <v>239</v>
      </c>
      <c r="B242" s="124"/>
      <c r="C242" s="128"/>
      <c r="D242" s="7"/>
      <c r="E242" s="8"/>
      <c r="F242" s="7"/>
      <c r="G242" s="7"/>
      <c r="H242" s="7"/>
      <c r="I242" s="27"/>
      <c r="J242" s="27"/>
      <c r="K242" s="61">
        <v>0</v>
      </c>
      <c r="L242" s="8"/>
      <c r="M242" s="10"/>
    </row>
    <row r="243" spans="1:13" ht="39" x14ac:dyDescent="0.35">
      <c r="A243" s="94">
        <v>240</v>
      </c>
      <c r="B243" s="124"/>
      <c r="C243" s="128"/>
      <c r="D243" s="7"/>
      <c r="E243" s="8"/>
      <c r="F243" s="14"/>
      <c r="G243" s="14"/>
      <c r="H243" s="7"/>
      <c r="I243" s="27"/>
      <c r="J243" s="27"/>
      <c r="K243" s="61">
        <v>0</v>
      </c>
      <c r="L243" s="8"/>
      <c r="M243" s="10"/>
    </row>
    <row r="244" spans="1:13" ht="39" x14ac:dyDescent="0.35">
      <c r="A244" s="94">
        <v>241</v>
      </c>
      <c r="B244" s="124"/>
      <c r="C244" s="128"/>
      <c r="D244" s="7"/>
      <c r="E244" s="8"/>
      <c r="F244" s="7"/>
      <c r="G244" s="7"/>
      <c r="H244" s="7"/>
      <c r="I244" s="27"/>
      <c r="J244" s="27"/>
      <c r="K244" s="61">
        <v>0</v>
      </c>
      <c r="L244" s="8"/>
      <c r="M244" s="10"/>
    </row>
    <row r="245" spans="1:13" ht="39" x14ac:dyDescent="0.35">
      <c r="A245" s="94">
        <v>242</v>
      </c>
      <c r="B245" s="124"/>
      <c r="C245" s="128"/>
      <c r="D245" s="7"/>
      <c r="E245" s="8"/>
      <c r="F245" s="7"/>
      <c r="G245" s="7"/>
      <c r="H245" s="7"/>
      <c r="I245" s="27"/>
      <c r="J245" s="27"/>
      <c r="K245" s="61"/>
      <c r="L245" s="8"/>
      <c r="M245" s="10"/>
    </row>
    <row r="246" spans="1:13" ht="39" x14ac:dyDescent="0.35">
      <c r="A246" s="94">
        <v>243</v>
      </c>
      <c r="B246" s="124"/>
      <c r="C246" s="128"/>
      <c r="D246" s="7"/>
      <c r="E246" s="8"/>
      <c r="F246" s="7"/>
      <c r="G246" s="7"/>
      <c r="H246" s="7"/>
      <c r="I246" s="27"/>
      <c r="J246" s="27"/>
      <c r="K246" s="61"/>
      <c r="L246" s="8"/>
      <c r="M246" s="10"/>
    </row>
  </sheetData>
  <autoFilter ref="A3:N246" xr:uid="{00000000-0001-0000-0500-000000000000}"/>
  <mergeCells count="2">
    <mergeCell ref="A1:B2"/>
    <mergeCell ref="C1:M2"/>
  </mergeCells>
  <conditionalFormatting sqref="K4:K246">
    <cfRule type="dataBar" priority="8">
      <dataBar>
        <cfvo type="num" val="0"/>
        <cfvo type="num" val="1"/>
        <color rgb="FF63C384"/>
      </dataBar>
      <extLst>
        <ext xmlns:x14="http://schemas.microsoft.com/office/spreadsheetml/2009/9/main" uri="{B025F937-C7B1-47D3-B67F-A62EFF666E3E}">
          <x14:id>{E719BE16-A4B9-4BE8-93CF-66FAE42D99D2}</x14:id>
        </ext>
      </extLst>
    </cfRule>
  </conditionalFormatting>
  <dataValidations count="2">
    <dataValidation type="date" operator="greaterThan" allowBlank="1" showInputMessage="1" showErrorMessage="1" errorTitle="Date required" error="Enter a valid date. To avoid regional format problems, type it as YYYY-MM-DD, for example 2026-12-31." promptTitle="Planned finish date" prompt="Enter a date, for example 2026-12-31." sqref="J4:J400">
      <formula1>1</formula1>
    </dataValidation>
    <dataValidation type="list" allowBlank="1" showInputMessage="1" showErrorMessage="1" sqref="L1:L1048576" xr:uid="{779650DB-AE5D-4491-A7AF-AA7B7D64E359}">
      <formula1>"Not Started, on track, Delay, completed"</formula1>
    </dataValidation>
  </dataValidations>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E41D2B57-1505-4CAC-B8CB-6702A15045BD}">
            <xm:f>'Findings Criteria'!$B$8</xm:f>
            <x14:dxf>
              <font>
                <b/>
                <i val="0"/>
              </font>
              <fill>
                <patternFill>
                  <bgColor rgb="FFFFC000"/>
                </patternFill>
              </fill>
            </x14:dxf>
          </x14:cfRule>
          <x14:cfRule type="cellIs" priority="2" operator="equal" id="{26618689-6E37-45D0-9EBC-053011A700A4}">
            <xm:f>'Findings Criteria'!$B$9</xm:f>
            <x14:dxf>
              <font>
                <b/>
                <i val="0"/>
              </font>
              <fill>
                <patternFill>
                  <bgColor rgb="FFFF0000"/>
                </patternFill>
              </fill>
            </x14:dxf>
          </x14:cfRule>
          <x14:cfRule type="cellIs" priority="5" operator="equal" id="{6EF44A9A-7D69-4129-B951-8488C62483A8}">
            <xm:f>'Findings Criteria'!$B$7</xm:f>
            <x14:dxf>
              <font>
                <b/>
                <i val="0"/>
              </font>
              <fill>
                <patternFill>
                  <bgColor rgb="FF00B050"/>
                </patternFill>
              </fill>
            </x14:dxf>
          </x14:cfRule>
          <xm:sqref>E1:E1048576</xm:sqref>
        </x14:conditionalFormatting>
        <x14:conditionalFormatting xmlns:xm="http://schemas.microsoft.com/office/excel/2006/main">
          <x14:cfRule type="expression" priority="6" id="{DF3475F6-F2B4-4153-AEA3-742D7206B2DF}">
            <xm:f>AND(E4='Findings Criteria'!B7,LEN(TRIM(F4))=0)</xm:f>
            <x14:dxf/>
          </x14:cfRule>
          <xm:sqref>F4:F246</xm:sqref>
        </x14:conditionalFormatting>
        <x14:conditionalFormatting xmlns:xm="http://schemas.microsoft.com/office/excel/2006/main">
          <x14:cfRule type="dataBar" id="{E719BE16-A4B9-4BE8-93CF-66FAE42D99D2}">
            <x14:dataBar minLength="0" maxLength="100" gradient="0">
              <x14:cfvo type="num">
                <xm:f>0</xm:f>
              </x14:cfvo>
              <x14:cfvo type="num">
                <xm:f>1</xm:f>
              </x14:cfvo>
              <x14:negativeFillColor rgb="FFFF0000"/>
              <x14:axisColor rgb="FF000000"/>
            </x14:dataBar>
          </x14:cfRule>
          <xm:sqref>K4:K246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0"/>
  <sheetViews>
    <sheetView zoomScale="70" zoomScaleNormal="70" workbookViewId="0">
      <selection activeCell="B28" sqref="B28"/>
    </sheetView>
  </sheetViews>
  <sheetFormatPr defaultRowHeight="33.75" customHeight="1" x14ac:dyDescent="0.35"/>
  <cols>
    <col min="1" max="1" width="4.54296875" bestFit="1" customWidth="1"/>
    <col min="2" max="2" width="17.6328125" customWidth="1"/>
    <col min="3" max="3" width="47" bestFit="1" customWidth="1"/>
    <col min="4" max="4" width="25.453125" customWidth="1"/>
    <col min="5" max="5" width="22" customWidth="1"/>
    <col min="6" max="6" width="33.54296875" style="135" customWidth="1"/>
    <col min="7" max="7" width="33.26953125" customWidth="1"/>
    <col min="12" max="12" width="12.453125" bestFit="1" customWidth="1"/>
  </cols>
  <sheetData>
    <row r="1" spans="1:12" s="1" customFormat="1" ht="33.75" customHeight="1" x14ac:dyDescent="0.35">
      <c r="A1" s="170"/>
      <c r="B1" s="170"/>
      <c r="C1" s="172" t="s">
        <v>34</v>
      </c>
      <c r="D1" s="172"/>
      <c r="E1" s="172"/>
      <c r="F1" s="172"/>
      <c r="G1" s="172"/>
    </row>
    <row r="2" spans="1:12" s="1" customFormat="1" ht="33.75" customHeight="1" thickBot="1" x14ac:dyDescent="0.4">
      <c r="A2" s="171"/>
      <c r="B2" s="171"/>
      <c r="C2" s="173"/>
      <c r="D2" s="173"/>
      <c r="E2" s="173"/>
      <c r="F2" s="173"/>
      <c r="G2" s="173"/>
    </row>
    <row r="3" spans="1:12" ht="48" customHeight="1" thickBot="1" x14ac:dyDescent="0.4">
      <c r="A3" s="67" t="s">
        <v>8</v>
      </c>
      <c r="B3" s="67" t="s">
        <v>35</v>
      </c>
      <c r="C3" s="67" t="s">
        <v>36</v>
      </c>
      <c r="D3" s="67" t="s">
        <v>30</v>
      </c>
      <c r="E3" s="67" t="s">
        <v>31</v>
      </c>
      <c r="F3" s="67" t="s">
        <v>32</v>
      </c>
      <c r="G3" s="67" t="s">
        <v>33</v>
      </c>
    </row>
    <row r="4" spans="1:12" s="1" customFormat="1" ht="33.75" customHeight="1" x14ac:dyDescent="0.35">
      <c r="A4" s="29">
        <v>1</v>
      </c>
      <c r="B4" s="130">
        <v>4.0999999999999996</v>
      </c>
      <c r="C4" s="136" t="s">
        <v>40</v>
      </c>
      <c r="D4" s="31">
        <f>IF(F4="completed"," ",_xlfn.XLOOKUP(B4,'Gap Analysis Impl. plan'!$B$4:$B$400,'Gap Analysis Impl. plan'!$J$4:$J$400,"No Planned Date"))</f>
      </c>
      <c r="E4" s="32">
        <f>_xlfn.XLOOKUP(B4,'Gap Analysis Impl. plan'!$B$4:$B$400,'Gap Analysis Impl. plan'!$K$4:$K$400," ")</f>
      </c>
      <c r="F4" s="133">
        <f>_xlfn.XLOOKUP(B4,'Gap Analysis Impl. plan'!$B$4:$B$400,'Gap Analysis Impl. plan'!$L$4:$L$400," ")</f>
      </c>
      <c r="G4" s="43"/>
      <c r="H4" s="25"/>
      <c r="L4" s="26"/>
    </row>
    <row r="5" spans="1:12" s="1" customFormat="1" ht="33.75" customHeight="1" x14ac:dyDescent="0.35">
      <c r="A5" s="5">
        <v>2</v>
      </c>
      <c r="B5" s="131">
        <v>4.2</v>
      </c>
      <c r="C5" s="118" t="s">
        <v>78</v>
      </c>
      <c r="D5" s="35">
        <f>IF(F5="completed"," ",_xlfn.XLOOKUP(B5,'Gap Analysis Impl. plan'!$B$4:$B$400,'Gap Analysis Impl. plan'!$J$4:$J$400,"No Planned Date"))</f>
      </c>
      <c r="E5" s="36">
        <f>_xlfn.XLOOKUP(B5,'Gap Analysis Impl. plan'!$B$4:$B$400,'Gap Analysis Impl. plan'!$K$4:$K$400," ")</f>
      </c>
      <c r="F5" s="134">
        <f>_xlfn.XLOOKUP(B5,'Gap Analysis Impl. plan'!$B$4:$B$400,'Gap Analysis Impl. plan'!$L$4:$L$400," ")</f>
      </c>
      <c r="G5" s="6"/>
      <c r="H5" s="25"/>
      <c r="L5" s="26"/>
    </row>
    <row r="6" spans="1:12" s="1" customFormat="1" ht="33.75" customHeight="1" x14ac:dyDescent="0.35">
      <c r="A6" s="5">
        <v>3</v>
      </c>
      <c r="B6" s="131">
        <v>4.3</v>
      </c>
      <c r="C6" s="118" t="s">
        <v>83</v>
      </c>
      <c r="D6" s="35">
        <f>IF(F6="completed"," ",_xlfn.XLOOKUP(B6,'Gap Analysis Impl. plan'!$B$4:$B$400,'Gap Analysis Impl. plan'!$J$4:$J$400,"No Planned Date"))</f>
      </c>
      <c r="E6" s="36">
        <f>_xlfn.XLOOKUP(B6,'Gap Analysis Impl. plan'!$B$4:$B$400,'Gap Analysis Impl. plan'!$K$4:$K$400," ")</f>
      </c>
      <c r="F6" s="134">
        <f>_xlfn.XLOOKUP(B6,'Gap Analysis Impl. plan'!$B$4:$B$400,'Gap Analysis Impl. plan'!$L$4:$L$400," ")</f>
      </c>
      <c r="G6" s="6"/>
      <c r="H6" s="25"/>
      <c r="L6" s="26"/>
    </row>
    <row r="7" spans="1:12" s="1" customFormat="1" ht="33.75" customHeight="1" x14ac:dyDescent="0.35">
      <c r="A7" s="5">
        <v>4</v>
      </c>
      <c r="B7" s="131">
        <v>4.4000000000000004</v>
      </c>
      <c r="C7" s="118" t="s">
        <v>94</v>
      </c>
      <c r="D7" s="35">
        <f>IF(F7="completed"," ",_xlfn.XLOOKUP(B7,'Gap Analysis Impl. plan'!$B$4:$B$400,'Gap Analysis Impl. plan'!$J$4:$J$400,"No Planned Date"))</f>
      </c>
      <c r="E7" s="36">
        <f>_xlfn.XLOOKUP(B7,'Gap Analysis Impl. plan'!$B$4:$B$400,'Gap Analysis Impl. plan'!$K$4:$K$400," ")</f>
      </c>
      <c r="F7" s="134">
        <f>_xlfn.XLOOKUP(B7,'Gap Analysis Impl. plan'!$B$4:$B$400,'Gap Analysis Impl. plan'!$L$4:$L$400," ")</f>
      </c>
      <c r="G7" s="6"/>
      <c r="H7" s="25"/>
      <c r="L7" s="26"/>
    </row>
    <row r="8" spans="1:12" s="1" customFormat="1" ht="33.75" customHeight="1" x14ac:dyDescent="0.35">
      <c r="A8" s="5">
        <v>5</v>
      </c>
      <c r="B8" s="131">
        <v>5.0999999999999996</v>
      </c>
      <c r="C8" s="118" t="s">
        <v>49</v>
      </c>
      <c r="D8" s="35">
        <f>IF(F8="completed"," ",_xlfn.XLOOKUP(B8,'Gap Analysis Impl. plan'!$B$4:$B$400,'Gap Analysis Impl. plan'!$J$4:$J$400,"No Planned Date"))</f>
      </c>
      <c r="E8" s="36">
        <f>_xlfn.XLOOKUP(B8,'Gap Analysis Impl. plan'!$B$4:$B$400,'Gap Analysis Impl. plan'!$K$4:$K$400," ")</f>
      </c>
      <c r="F8" s="134">
        <f>_xlfn.XLOOKUP(B8,'Gap Analysis Impl. plan'!$B$4:$B$400,'Gap Analysis Impl. plan'!$L$4:$L$400," ")</f>
      </c>
      <c r="G8" s="6"/>
      <c r="H8" s="25"/>
    </row>
    <row r="9" spans="1:12" s="1" customFormat="1" ht="33.75" customHeight="1" x14ac:dyDescent="0.35">
      <c r="A9" s="5">
        <v>6</v>
      </c>
      <c r="B9" s="131">
        <v>5.2</v>
      </c>
      <c r="C9" s="118" t="s">
        <v>114</v>
      </c>
      <c r="D9" s="35">
        <f>IF(F9="completed"," ",_xlfn.XLOOKUP(B9,'Gap Analysis Impl. plan'!$B$4:$B$400,'Gap Analysis Impl. plan'!$J$4:$J$400,"No Planned Date"))</f>
      </c>
      <c r="E9" s="36">
        <f>_xlfn.XLOOKUP(B9,'Gap Analysis Impl. plan'!$B$4:$B$400,'Gap Analysis Impl. plan'!$K$4:$K$400," ")</f>
      </c>
      <c r="F9" s="134">
        <f>_xlfn.XLOOKUP(B9,'Gap Analysis Impl. plan'!$B$4:$B$400,'Gap Analysis Impl. plan'!$L$4:$L$400," ")</f>
      </c>
      <c r="G9" s="6"/>
      <c r="H9" s="25"/>
    </row>
    <row r="10" spans="1:12" s="1" customFormat="1" ht="33.75" customHeight="1" x14ac:dyDescent="0.35">
      <c r="A10" s="5">
        <v>7</v>
      </c>
      <c r="B10" s="131">
        <v>5.3</v>
      </c>
      <c r="C10" s="118" t="s">
        <v>50</v>
      </c>
      <c r="D10" s="35">
        <f>IF(F10="completed"," ",_xlfn.XLOOKUP(B10,'Gap Analysis Impl. plan'!$B$4:$B$400,'Gap Analysis Impl. plan'!$J$4:$J$400,"No Planned Date"))</f>
      </c>
      <c r="E10" s="36">
        <f>_xlfn.XLOOKUP(B10,'Gap Analysis Impl. plan'!$B$4:$B$400,'Gap Analysis Impl. plan'!$K$4:$K$400," ")</f>
      </c>
      <c r="F10" s="134">
        <f>_xlfn.XLOOKUP(B10,'Gap Analysis Impl. plan'!$B$4:$B$400,'Gap Analysis Impl. plan'!$L$4:$L$400," ")</f>
      </c>
      <c r="G10" s="6"/>
      <c r="H10" s="25"/>
    </row>
    <row r="11" spans="1:12" s="1" customFormat="1" ht="33.75" customHeight="1" x14ac:dyDescent="0.35">
      <c r="A11" s="5">
        <v>8</v>
      </c>
      <c r="B11" s="131">
        <v>6.1</v>
      </c>
      <c r="C11" s="118" t="s">
        <v>51</v>
      </c>
      <c r="D11" s="35">
        <f>IF(F11="completed"," ",_xlfn.XLOOKUP(B11,'Gap Analysis Impl. plan'!$B$4:$B$400,'Gap Analysis Impl. plan'!$J$4:$J$400,"No Planned Date"))</f>
      </c>
      <c r="E11" s="36">
        <f>_xlfn.XLOOKUP(B11,'Gap Analysis Impl. plan'!$B$4:$B$400,'Gap Analysis Impl. plan'!$K$4:$K$400," ")</f>
      </c>
      <c r="F11" s="134">
        <f>_xlfn.XLOOKUP(B11,'Gap Analysis Impl. plan'!$B$4:$B$400,'Gap Analysis Impl. plan'!$L$4:$L$400," ")</f>
      </c>
      <c r="G11" s="6"/>
      <c r="H11" s="25"/>
    </row>
    <row r="12" spans="1:12" s="1" customFormat="1" ht="33.75" customHeight="1" x14ac:dyDescent="0.35">
      <c r="A12" s="5">
        <v>9</v>
      </c>
      <c r="B12" s="131">
        <v>6.2</v>
      </c>
      <c r="C12" s="118" t="s">
        <v>173</v>
      </c>
      <c r="D12" s="35">
        <f>IF(F12="completed"," ",_xlfn.XLOOKUP(B12,'Gap Analysis Impl. plan'!$B$4:$B$400,'Gap Analysis Impl. plan'!$J$4:$J$400,"No Planned Date"))</f>
      </c>
      <c r="E12" s="36">
        <f>_xlfn.XLOOKUP(B12,'Gap Analysis Impl. plan'!$B$4:$B$400,'Gap Analysis Impl. plan'!$K$4:$K$400," ")</f>
      </c>
      <c r="F12" s="134">
        <f>_xlfn.XLOOKUP(B12,'Gap Analysis Impl. plan'!$B$4:$B$400,'Gap Analysis Impl. plan'!$L$4:$L$400," ")</f>
      </c>
      <c r="G12" s="6"/>
      <c r="H12" s="25"/>
    </row>
    <row r="13" spans="1:12" s="1" customFormat="1" ht="33.75" customHeight="1" x14ac:dyDescent="0.35">
      <c r="A13" s="5">
        <v>10</v>
      </c>
      <c r="B13" s="131">
        <v>6.3</v>
      </c>
      <c r="C13" s="118" t="inlineStr">
        <is>
          <t xml:space="preserve">Planning of changes</t>
        </is>
      </c>
      <c r="D13" s="35">
        <f>IF(F13="completed"," ",_xlfn.XLOOKUP(B13,'Gap Analysis Impl. plan'!$B$4:$B$400,'Gap Analysis Impl. plan'!$J$4:$J$400,"No Planned Date"))</f>
      </c>
      <c r="E13" s="36">
        <f>_xlfn.XLOOKUP(B13,'Gap Analysis Impl. plan'!$B$4:$B$400,'Gap Analysis Impl. plan'!$K$4:$K$400," ")</f>
      </c>
      <c r="F13" s="134">
        <f>_xlfn.XLOOKUP(B13,'Gap Analysis Impl. plan'!$B$4:$B$400,'Gap Analysis Impl. plan'!$L$4:$L$400," ")</f>
      </c>
      <c r="G13" s="6"/>
      <c r="H13" s="25"/>
    </row>
    <row r="14" spans="1:12" s="1" customFormat="1" ht="33.75" customHeight="1" x14ac:dyDescent="0.35">
      <c r="A14" s="5">
        <v>11</v>
      </c>
      <c r="B14" s="131">
        <v>7.1</v>
      </c>
      <c r="C14" s="118" t="s">
        <v>44</v>
      </c>
      <c r="D14" s="35">
        <f>IF(F14="completed"," ",_xlfn.XLOOKUP(B14,'Gap Analysis Impl. plan'!$B$4:$B$400,'Gap Analysis Impl. plan'!$J$4:$J$400,"No Planned Date"))</f>
      </c>
      <c r="E14" s="36">
        <f>_xlfn.XLOOKUP(B14,'Gap Analysis Impl. plan'!$B$4:$B$400,'Gap Analysis Impl. plan'!$K$4:$K$400," ")</f>
      </c>
      <c r="F14" s="134">
        <f>_xlfn.XLOOKUP(B14,'Gap Analysis Impl. plan'!$B$4:$B$400,'Gap Analysis Impl. plan'!$L$4:$L$400," ")</f>
      </c>
      <c r="G14" s="6"/>
      <c r="H14" s="25"/>
    </row>
    <row r="15" spans="1:12" s="1" customFormat="1" ht="33.75" customHeight="1" x14ac:dyDescent="0.35">
      <c r="A15" s="5">
        <v>12</v>
      </c>
      <c r="B15" s="131">
        <v>7.2</v>
      </c>
      <c r="C15" s="118" t="s">
        <v>45</v>
      </c>
      <c r="D15" s="35">
        <f>IF(F15="completed"," ",_xlfn.XLOOKUP(B15,'Gap Analysis Impl. plan'!$B$4:$B$400,'Gap Analysis Impl. plan'!$J$4:$J$400,"No Planned Date"))</f>
      </c>
      <c r="E15" s="36">
        <f>_xlfn.XLOOKUP(B15,'Gap Analysis Impl. plan'!$B$4:$B$400,'Gap Analysis Impl. plan'!$K$4:$K$400," ")</f>
      </c>
      <c r="F15" s="134">
        <f>_xlfn.XLOOKUP(B15,'Gap Analysis Impl. plan'!$B$4:$B$400,'Gap Analysis Impl. plan'!$L$4:$L$400," ")</f>
      </c>
      <c r="G15" s="6"/>
      <c r="H15" s="25"/>
    </row>
    <row r="16" spans="1:12" s="1" customFormat="1" ht="33.75" customHeight="1" x14ac:dyDescent="0.35">
      <c r="A16" s="5">
        <v>13</v>
      </c>
      <c r="B16" s="131">
        <v>7.3</v>
      </c>
      <c r="C16" s="118" t="s">
        <v>46</v>
      </c>
      <c r="D16" s="35">
        <f>IF(F16="completed"," ",_xlfn.XLOOKUP(B16,'Gap Analysis Impl. plan'!$B$4:$B$400,'Gap Analysis Impl. plan'!$J$4:$J$400,"No Planned Date"))</f>
      </c>
      <c r="E16" s="36">
        <f>_xlfn.XLOOKUP(B16,'Gap Analysis Impl. plan'!$B$4:$B$400,'Gap Analysis Impl. plan'!$K$4:$K$400," ")</f>
      </c>
      <c r="F16" s="134">
        <f>_xlfn.XLOOKUP(B16,'Gap Analysis Impl. plan'!$B$4:$B$400,'Gap Analysis Impl. plan'!$L$4:$L$400," ")</f>
      </c>
      <c r="G16" s="6"/>
      <c r="H16" s="25"/>
    </row>
    <row r="17" spans="1:12" s="1" customFormat="1" ht="33.75" customHeight="1" x14ac:dyDescent="0.35">
      <c r="A17" s="5">
        <v>14</v>
      </c>
      <c r="B17" s="131">
        <v>7.4</v>
      </c>
      <c r="C17" s="118" t="s">
        <v>52</v>
      </c>
      <c r="D17" s="35">
        <f>IF(F17="completed"," ",_xlfn.XLOOKUP(B17,'Gap Analysis Impl. plan'!$B$4:$B$400,'Gap Analysis Impl. plan'!$J$4:$J$400,"No Planned Date"))</f>
      </c>
      <c r="E17" s="36">
        <f>_xlfn.XLOOKUP(B17,'Gap Analysis Impl. plan'!$B$4:$B$400,'Gap Analysis Impl. plan'!$K$4:$K$400," ")</f>
      </c>
      <c r="F17" s="134">
        <f>_xlfn.XLOOKUP(B17,'Gap Analysis Impl. plan'!$B$4:$B$400,'Gap Analysis Impl. plan'!$L$4:$L$400," ")</f>
      </c>
      <c r="G17" s="6"/>
      <c r="H17" s="25"/>
    </row>
    <row r="18" spans="1:8" s="1" customFormat="1" ht="33.75" customHeight="1" x14ac:dyDescent="0.35">
      <c r="A18" s="5">
        <v>15</v>
      </c>
      <c r="B18" s="131">
        <v>7.5</v>
      </c>
      <c r="C18" s="118" t="s">
        <v>212</v>
      </c>
      <c r="D18" s="35">
        <f>IF(F18="completed"," ",_xlfn.XLOOKUP(B18,'Gap Analysis Impl. plan'!$B$4:$B$400,'Gap Analysis Impl. plan'!$J$4:$J$400,"No Planned Date"))</f>
      </c>
      <c r="E18" s="36">
        <f>_xlfn.XLOOKUP(B18,'Gap Analysis Impl. plan'!$B$4:$B$400,'Gap Analysis Impl. plan'!$K$4:$K$400," ")</f>
      </c>
      <c r="F18" s="134">
        <f>_xlfn.XLOOKUP(B18,'Gap Analysis Impl. plan'!$B$4:$B$400,'Gap Analysis Impl. plan'!$L$4:$L$400," ")</f>
      </c>
      <c r="G18" s="6"/>
      <c r="H18" s="25"/>
    </row>
    <row r="19" spans="1:8" s="1" customFormat="1" ht="33.75" customHeight="1" x14ac:dyDescent="0.35">
      <c r="A19" s="5">
        <v>16</v>
      </c>
      <c r="B19" s="131">
        <v>8.1</v>
      </c>
      <c r="C19" s="118" t="s">
        <v>235</v>
      </c>
      <c r="D19" s="35">
        <f>IF(F19="completed"," ",_xlfn.XLOOKUP(B19,'Gap Analysis Impl. plan'!$B$4:$B$400,'Gap Analysis Impl. plan'!$J$4:$J$400,"No Planned Date"))</f>
      </c>
      <c r="E19" s="36">
        <f>_xlfn.XLOOKUP(B19,'Gap Analysis Impl. plan'!$B$4:$B$400,'Gap Analysis Impl. plan'!$K$4:$K$400," ")</f>
      </c>
      <c r="F19" s="134">
        <f>_xlfn.XLOOKUP(B19,'Gap Analysis Impl. plan'!$B$4:$B$400,'Gap Analysis Impl. plan'!$L$4:$L$400," ")</f>
      </c>
      <c r="G19" s="6"/>
      <c r="H19" s="25"/>
    </row>
    <row r="20" spans="1:8" s="1" customFormat="1" ht="33.75" customHeight="1" x14ac:dyDescent="0.35">
      <c r="A20" s="5">
        <v>17</v>
      </c>
      <c r="B20" s="131">
        <v>8.1999999999999993</v>
      </c>
      <c r="C20" s="118" t="s">
        <v>246</v>
      </c>
      <c r="D20" s="35">
        <f>IF(F20="completed"," ",_xlfn.XLOOKUP(B20,'Gap Analysis Impl. plan'!$B$4:$B$400,'Gap Analysis Impl. plan'!$J$4:$J$400,"No Planned Date"))</f>
      </c>
      <c r="E20" s="36">
        <f>_xlfn.XLOOKUP(B20,'Gap Analysis Impl. plan'!$B$4:$B$400,'Gap Analysis Impl. plan'!$K$4:$K$400," ")</f>
      </c>
      <c r="F20" s="134">
        <f>_xlfn.XLOOKUP(B20,'Gap Analysis Impl. plan'!$B$4:$B$400,'Gap Analysis Impl. plan'!$L$4:$L$400," ")</f>
      </c>
      <c r="G20" s="6"/>
      <c r="H20" s="25"/>
    </row>
    <row r="21" spans="1:8" s="1" customFormat="1" ht="33.75" customHeight="1" x14ac:dyDescent="0.35">
      <c r="A21" s="5">
        <v>18</v>
      </c>
      <c r="B21" s="131">
        <v>8.3000000000000007</v>
      </c>
      <c r="C21" s="118" t="s">
        <v>249</v>
      </c>
      <c r="D21" s="35">
        <f>IF(F21="completed"," ",_xlfn.XLOOKUP(B21,'Gap Analysis Impl. plan'!$B$4:$B$400,'Gap Analysis Impl. plan'!$J$4:$J$400,"No Planned Date"))</f>
      </c>
      <c r="E21" s="36">
        <f>_xlfn.XLOOKUP(B21,'Gap Analysis Impl. plan'!$B$4:$B$400,'Gap Analysis Impl. plan'!$K$4:$K$400," ")</f>
      </c>
      <c r="F21" s="134">
        <f>_xlfn.XLOOKUP(B21,'Gap Analysis Impl. plan'!$B$4:$B$400,'Gap Analysis Impl. plan'!$L$4:$L$400," ")</f>
      </c>
      <c r="G21" s="6"/>
      <c r="H21" s="25"/>
    </row>
    <row r="22" spans="1:8" s="1" customFormat="1" ht="33.75" customHeight="1" x14ac:dyDescent="0.35">
      <c r="A22" s="5">
        <v>19</v>
      </c>
      <c r="B22" s="131">
        <v>9.1</v>
      </c>
      <c r="C22" s="118" t="s">
        <v>254</v>
      </c>
      <c r="D22" s="35">
        <f>IF(F22="completed"," ",_xlfn.XLOOKUP(B22,'Gap Analysis Impl. plan'!$B$4:$B$400,'Gap Analysis Impl. plan'!$J$4:$J$400,"No Planned Date"))</f>
      </c>
      <c r="E22" s="36">
        <f>_xlfn.XLOOKUP(B22,'Gap Analysis Impl. plan'!$B$4:$B$400,'Gap Analysis Impl. plan'!$K$4:$K$400," ")</f>
      </c>
      <c r="F22" s="134">
        <f>_xlfn.XLOOKUP(B22,'Gap Analysis Impl. plan'!$B$4:$B$400,'Gap Analysis Impl. plan'!$L$4:$L$400," ")</f>
      </c>
      <c r="G22" s="6"/>
      <c r="H22" s="25"/>
    </row>
    <row r="23" spans="1:8" s="1" customFormat="1" ht="33.75" customHeight="1" x14ac:dyDescent="0.35">
      <c r="A23" s="5">
        <v>20</v>
      </c>
      <c r="B23" s="131">
        <v>9.1999999999999993</v>
      </c>
      <c r="C23" s="118" t="s">
        <v>269</v>
      </c>
      <c r="D23" s="35">
        <f>IF(F23="completed"," ",_xlfn.XLOOKUP(B23,'Gap Analysis Impl. plan'!$B$4:$B$400,'Gap Analysis Impl. plan'!$J$4:$J$400,"No Planned Date"))</f>
      </c>
      <c r="E23" s="36">
        <f>_xlfn.XLOOKUP(B23,'Gap Analysis Impl. plan'!$B$4:$B$400,'Gap Analysis Impl. plan'!$K$4:$K$400," ")</f>
      </c>
      <c r="F23" s="134">
        <f>_xlfn.XLOOKUP(B23,'Gap Analysis Impl. plan'!$B$4:$B$400,'Gap Analysis Impl. plan'!$L$4:$L$400," ")</f>
      </c>
      <c r="G23" s="6"/>
      <c r="H23" s="25"/>
    </row>
    <row r="24" spans="1:8" s="1" customFormat="1" ht="33.75" customHeight="1" x14ac:dyDescent="0.35">
      <c r="A24" s="5">
        <v>21</v>
      </c>
      <c r="B24" s="131">
        <v>9.3000000000000007</v>
      </c>
      <c r="C24" s="118" t="s">
        <v>282</v>
      </c>
      <c r="D24" s="35">
        <f>IF(F24="completed"," ",_xlfn.XLOOKUP(B24,'Gap Analysis Impl. plan'!$B$4:$B$400,'Gap Analysis Impl. plan'!$J$4:$J$400,"No Planned Date"))</f>
      </c>
      <c r="E24" s="36">
        <f>_xlfn.XLOOKUP(B24,'Gap Analysis Impl. plan'!$B$4:$B$400,'Gap Analysis Impl. plan'!$K$4:$K$400," ")</f>
      </c>
      <c r="F24" s="134">
        <f>_xlfn.XLOOKUP(B24,'Gap Analysis Impl. plan'!$B$4:$B$400,'Gap Analysis Impl. plan'!$L$4:$L$400," ")</f>
      </c>
      <c r="G24" s="6"/>
      <c r="H24" s="25"/>
    </row>
    <row r="25" spans="1:8" s="1" customFormat="1" ht="33.75" customHeight="1" x14ac:dyDescent="0.35">
      <c r="A25" s="5">
        <v>22</v>
      </c>
      <c r="B25" s="131">
        <v>10.1</v>
      </c>
      <c r="C25" s="118" t="s">
        <v>298</v>
      </c>
      <c r="D25" s="35">
        <f>IF(F25="completed"," ",_xlfn.XLOOKUP(B25,'Gap Analysis Impl. plan'!$B$4:$B$400,'Gap Analysis Impl. plan'!$J$4:$J$400,"No Planned Date"))</f>
      </c>
      <c r="E25" s="36">
        <f>_xlfn.XLOOKUP(B25,'Gap Analysis Impl. plan'!$B$4:$B$400,'Gap Analysis Impl. plan'!$K$4:$K$400," ")</f>
      </c>
      <c r="F25" s="134">
        <f>_xlfn.XLOOKUP(B25,'Gap Analysis Impl. plan'!$B$4:$B$400,'Gap Analysis Impl. plan'!$L$4:$L$400," ")</f>
      </c>
      <c r="G25" s="6"/>
      <c r="H25" s="25"/>
    </row>
    <row r="26" spans="1:8" s="1" customFormat="1" ht="33.75" customHeight="1" x14ac:dyDescent="0.35">
      <c r="A26" s="5">
        <v>23</v>
      </c>
      <c r="B26" s="131">
        <v>10.199999999999999</v>
      </c>
      <c r="C26" s="118" t="s">
        <v>315</v>
      </c>
      <c r="D26" s="35">
        <f>IF(F26="completed"," ",_xlfn.XLOOKUP(B26,'Gap Analysis Impl. plan'!$B$4:$B$400,'Gap Analysis Impl. plan'!$J$4:$J$400,"No Planned Date"))</f>
      </c>
      <c r="E26" s="36">
        <f>_xlfn.XLOOKUP(B26,'Gap Analysis Impl. plan'!$B$4:$B$400,'Gap Analysis Impl. plan'!$K$4:$K$400," ")</f>
      </c>
      <c r="F26" s="134">
        <f>_xlfn.XLOOKUP(B26,'Gap Analysis Impl. plan'!$B$4:$B$400,'Gap Analysis Impl. plan'!$L$4:$L$400," ")</f>
      </c>
      <c r="G26" s="6"/>
      <c r="H26" s="25"/>
    </row>
    <row r="27" spans="1:8" ht="33.75" customHeight="1" x14ac:dyDescent="0.35">
      <c r="A27" s="5">
        <v>24</v>
      </c>
      <c r="B27" s="131" t="s">
        <v>65</v>
      </c>
      <c r="C27" s="118" t="s">
        <v>318</v>
      </c>
      <c r="D27" s="35">
        <f>IF(F27="completed"," ",_xlfn.XLOOKUP(B27,'Gap Analysis Impl. plan'!$B$4:$B$400,'Gap Analysis Impl. plan'!$J$4:$J$400,"No Planned Date"))</f>
      </c>
      <c r="E27" s="36">
        <f>_xlfn.XLOOKUP(B27,'Gap Analysis Impl. plan'!$B$4:$B$400,'Gap Analysis Impl. plan'!$K$4:$K$400," ")</f>
      </c>
      <c r="F27" s="134">
        <f>_xlfn.XLOOKUP(B27,'Gap Analysis Impl. plan'!$B$4:$B$400,'Gap Analysis Impl. plan'!$L$4:$L$400," ")</f>
      </c>
      <c r="G27" s="6"/>
    </row>
    <row r="28" spans="1:8" ht="33.75" customHeight="1" x14ac:dyDescent="0.35">
      <c r="A28" s="5">
        <v>25</v>
      </c>
      <c r="B28" s="131" t="s">
        <v>66</v>
      </c>
      <c r="C28" s="118" t="s">
        <v>393</v>
      </c>
      <c r="D28" s="35">
        <f>IF(F28="completed"," ",_xlfn.XLOOKUP(B28,'Gap Analysis Impl. plan'!$B$4:$B$400,'Gap Analysis Impl. plan'!$J$4:$J$400,"No Planned Date"))</f>
      </c>
      <c r="E28" s="36">
        <f>_xlfn.XLOOKUP(B28,'Gap Analysis Impl. plan'!$B$4:$B$400,'Gap Analysis Impl. plan'!$K$4:$K$400," ")</f>
      </c>
      <c r="F28" s="134">
        <f>_xlfn.XLOOKUP(B28,'Gap Analysis Impl. plan'!$B$4:$B$400,'Gap Analysis Impl. plan'!$L$4:$L$400," ")</f>
      </c>
      <c r="G28" s="6"/>
    </row>
    <row r="29" spans="1:8" ht="33.75" customHeight="1" x14ac:dyDescent="0.35">
      <c r="A29" s="5">
        <v>26</v>
      </c>
      <c r="B29" s="131" t="s">
        <v>67</v>
      </c>
      <c r="C29" s="118" t="s">
        <v>412</v>
      </c>
      <c r="D29" s="35">
        <f>IF(F29="completed"," ",_xlfn.XLOOKUP(B29,'Gap Analysis Impl. plan'!$B$4:$B$400,'Gap Analysis Impl. plan'!$J$4:$J$400,"No Planned Date"))</f>
      </c>
      <c r="E29" s="36">
        <f>_xlfn.XLOOKUP(B29,'Gap Analysis Impl. plan'!$B$4:$B$400,'Gap Analysis Impl. plan'!$K$4:$K$400," ")</f>
      </c>
      <c r="F29" s="134">
        <f>_xlfn.XLOOKUP(B29,'Gap Analysis Impl. plan'!$B$4:$B$400,'Gap Analysis Impl. plan'!$L$4:$L$400," ")</f>
      </c>
      <c r="G29" s="6"/>
    </row>
    <row r="30" spans="1:8" ht="33.75" customHeight="1" thickBot="1" x14ac:dyDescent="0.4">
      <c r="A30" s="38">
        <v>27</v>
      </c>
      <c r="B30" s="132" t="s">
        <v>68</v>
      </c>
      <c r="C30" s="137" t="s">
        <v>441</v>
      </c>
      <c r="D30" s="40">
        <f>IF(F30="completed"," ",_xlfn.XLOOKUP(B30,'Gap Analysis Impl. plan'!$B$4:$B$400,'Gap Analysis Impl. plan'!$J$4:$J$400,"No Planned Date"))</f>
      </c>
      <c r="E30" s="138">
        <f>_xlfn.XLOOKUP(B30,'Gap Analysis Impl. plan'!$B$4:$B$400,'Gap Analysis Impl. plan'!$K$4:$K$400," ")</f>
      </c>
      <c r="F30" s="139">
        <f>_xlfn.XLOOKUP(B30,'Gap Analysis Impl. plan'!$B$4:$B$400,'Gap Analysis Impl. plan'!$L$4:$L$400," ")</f>
      </c>
      <c r="G30" s="140"/>
    </row>
  </sheetData>
  <autoFilter ref="A3:G30" xr:uid="{00000000-0009-0000-0000-000006000000}"/>
  <mergeCells count="2">
    <mergeCell ref="A1:B2"/>
    <mergeCell ref="C1:G2"/>
  </mergeCells>
  <conditionalFormatting sqref="E4:E30">
    <cfRule type="dataBar" priority="1">
      <dataBar>
        <cfvo type="num" val="0"/>
        <cfvo type="num" val="1"/>
        <color rgb="FF63C384"/>
      </dataBar>
      <extLst>
        <ext xmlns:x14="http://schemas.microsoft.com/office/spreadsheetml/2009/9/main" uri="{B025F937-C7B1-47D3-B67F-A62EFF666E3E}">
          <x14:id>{B9ECDB0E-754F-4FD6-B261-76BB7585D8BB}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5E5B57AE-21ED-4F01-A703-7E068A890837}">
            <xm:f>NOT(ISERROR(SEARCH('Findings Criteria'!$B$9,D4)))</xm:f>
            <xm:f>'Findings Criteria'!$B$9</xm:f>
            <x14:dxf>
              <fill>
                <patternFill>
                  <bgColor rgb="FFFF0000"/>
                </patternFill>
              </fill>
            </x14:dxf>
          </x14:cfRule>
          <x14:cfRule type="containsText" priority="3" operator="containsText" id="{F85F99C2-003D-4DA3-8EF4-33D9FE42496E}">
            <xm:f>NOT(ISERROR(SEARCH('Findings Criteria'!$B$8,D4)))</xm:f>
            <xm:f>'Findings Criteria'!$B$8</xm:f>
            <x14:dxf>
              <fill>
                <patternFill>
                  <bgColor rgb="FFFFFF00"/>
                </patternFill>
              </fill>
            </x14:dxf>
          </x14:cfRule>
          <x14:cfRule type="containsText" priority="4" operator="containsText" id="{ECB37CD5-3CE9-435C-8F11-DB2D33DB16AB}">
            <xm:f>NOT(ISERROR(SEARCH('Findings Criteria'!$B$7,D4)))</xm:f>
            <xm:f>'Findings Criteria'!$B$7</xm:f>
            <x14:dxf>
              <fill>
                <patternFill>
                  <bgColor rgb="FF00B050"/>
                </patternFill>
              </fill>
            </x14:dxf>
          </x14:cfRule>
          <xm:sqref>D4:D30</xm:sqref>
        </x14:conditionalFormatting>
        <x14:conditionalFormatting xmlns:xm="http://schemas.microsoft.com/office/excel/2006/main">
          <x14:cfRule type="dataBar" id="{B9ECDB0E-754F-4FD6-B261-76BB7585D8BB}">
            <x14:dataBar minLength="0" maxLength="100" gradient="0">
              <x14:cfvo type="num">
                <xm:f>0</xm:f>
              </x14:cfvo>
              <x14:cfvo type="num">
                <xm:f>1</xm:f>
              </x14:cfvo>
              <x14:negativeFillColor rgb="FFFF0000"/>
              <x14:axisColor rgb="FF000000"/>
            </x14:dataBar>
          </x14:cfRule>
          <xm:sqref>E4:E30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
  <sheetViews>
    <sheetView topLeftCell="A2" zoomScaleNormal="100" workbookViewId="0">
      <selection activeCell="E15" sqref="E15"/>
    </sheetView>
  </sheetViews>
  <sheetFormatPr defaultRowHeight="14.5" x14ac:dyDescent="0.35"/>
  <cols>
    <col min="1" max="1" width="6" customWidth="1"/>
    <col min="2" max="2" width="12.453125" customWidth="1"/>
    <col min="3" max="3" width="15.81640625" customWidth="1"/>
    <col min="4" max="4" width="22.453125" bestFit="1" customWidth="1"/>
    <col min="5" max="5" width="21.54296875" bestFit="1" customWidth="1"/>
    <col min="6" max="6" width="17.7265625" customWidth="1"/>
    <col min="7" max="7" width="20.7265625" customWidth="1"/>
  </cols>
  <sheetData>
    <row r="1" spans="1:7" s="1" customFormat="1" ht="33" customHeight="1" x14ac:dyDescent="0.35">
      <c r="A1" s="170"/>
      <c r="B1" s="170"/>
      <c r="C1" s="174" t="s">
        <v>37</v>
      </c>
      <c r="D1" s="174"/>
      <c r="E1" s="174"/>
      <c r="F1" s="174"/>
      <c r="G1" s="174"/>
    </row>
    <row r="2" spans="1:7" s="1" customFormat="1" ht="16" thickBot="1" x14ac:dyDescent="0.4">
      <c r="A2" s="171"/>
      <c r="B2" s="171"/>
      <c r="C2" s="175"/>
      <c r="D2" s="175"/>
      <c r="E2" s="175"/>
      <c r="F2" s="175"/>
      <c r="G2" s="175"/>
    </row>
    <row r="3" spans="1:7" ht="36" customHeight="1" thickBot="1" x14ac:dyDescent="0.4">
      <c r="A3" s="66" t="s">
        <v>8</v>
      </c>
      <c r="B3" s="66" t="s">
        <v>9</v>
      </c>
      <c r="C3" s="66" t="s">
        <v>10</v>
      </c>
      <c r="D3" s="66" t="s">
        <v>30</v>
      </c>
      <c r="E3" s="66" t="s">
        <v>31</v>
      </c>
      <c r="F3" s="66" t="s">
        <v>32</v>
      </c>
      <c r="G3" s="66" t="s">
        <v>33</v>
      </c>
    </row>
    <row r="4" spans="1:7" s="1" customFormat="1" ht="15.5" x14ac:dyDescent="0.35">
      <c r="A4" s="29">
        <v>1</v>
      </c>
      <c r="B4" s="30">
        <v>4</v>
      </c>
      <c r="C4" s="30" t="s">
        <v>18</v>
      </c>
      <c r="D4" s="31" cm="1">
        <f t="array" ref="D4">IF(F4="Completed"," ",IF(MAX(_xlfn._xlws.FILTER('Sub-Clauses Implementation'!$D$4:$D$26,VALUE(_xlfn.TEXTBEFORE('Sub-Clauses Implementation'!$B$4:$B$26,"."))=B4," "))=0," ",MAX(_xlfn._xlws.FILTER('Sub-Clauses Implementation'!$D$4:$D$26,VALUE(_xlfn.TEXTBEFORE('Sub-Clauses Implementation'!$B$4:$B$26,"."))=B4," "))))</f>
        <v>0</v>
      </c>
      <c r="E4" s="32" cm="1">
        <f t="array" ref="E4">AVERAGE(_xlfn._xlws.FILTER('Sub-Clauses Implementation'!$E$4:E$26,VALUE(_xlfn.TEXTBEFORE('Sub-Clauses Implementation'!$B$4:$B$26,"."))=B4," "))</f>
        <v>0</v>
      </c>
      <c r="F4" s="33">
        <f>_xlfn.XLOOKUP(B4,'Gap Analysis Impl. plan'!$B$4:$B$400,'Gap Analysis Impl. plan'!$L$4:$L$400," ")</f>
        <v>0</v>
      </c>
      <c r="G4" s="34"/>
    </row>
    <row r="5" spans="1:7" s="1" customFormat="1" ht="15.5" x14ac:dyDescent="0.35">
      <c r="A5" s="5">
        <v>2</v>
      </c>
      <c r="B5" s="4">
        <v>5</v>
      </c>
      <c r="C5" s="4" t="s">
        <v>19</v>
      </c>
      <c r="D5" s="35" cm="1">
        <f t="array" ref="D5">IF(F5="Completed"," ",IF(MAX(_xlfn._xlws.FILTER('Sub-Clauses Implementation'!$D$4:$D$26,VALUE(_xlfn.TEXTBEFORE('Sub-Clauses Implementation'!$B$4:$B$26,"."))=B5," "))=0," ",MAX(_xlfn._xlws.FILTER('Sub-Clauses Implementation'!$D$4:$D$26,VALUE(_xlfn.TEXTBEFORE('Sub-Clauses Implementation'!$B$4:$B$26,"."))=B5," "))))</f>
        <v>0</v>
      </c>
      <c r="E5" s="36" cm="1">
        <f t="array" ref="E5">AVERAGE(_xlfn._xlws.FILTER('Sub-Clauses Implementation'!$E$4:E$26,VALUE(_xlfn.TEXTBEFORE('Sub-Clauses Implementation'!$B$4:$B$26,"."))=B5," "))</f>
        <v>0</v>
      </c>
      <c r="F5" s="37">
        <f>_xlfn.XLOOKUP(B5,'Gap Analysis Impl. plan'!$B$4:$B$400,'Gap Analysis Impl. plan'!$L$4:$L$400," ")</f>
        <v>0</v>
      </c>
      <c r="G5" s="24"/>
    </row>
    <row r="6" spans="1:7" s="1" customFormat="1" ht="15.5" x14ac:dyDescent="0.35">
      <c r="A6" s="5">
        <v>3</v>
      </c>
      <c r="B6" s="4">
        <v>6</v>
      </c>
      <c r="C6" s="4" t="s">
        <v>20</v>
      </c>
      <c r="D6" s="35" cm="1">
        <f t="array" ref="D6">IF(F6="Completed"," ",IF(MAX(_xlfn._xlws.FILTER('Sub-Clauses Implementation'!$D$4:$D$26,VALUE(_xlfn.TEXTBEFORE('Sub-Clauses Implementation'!$B$4:$B$26,"."))=B6," "))=0," ",MAX(_xlfn._xlws.FILTER('Sub-Clauses Implementation'!$D$4:$D$26,VALUE(_xlfn.TEXTBEFORE('Sub-Clauses Implementation'!$B$4:$B$26,"."))=B6," "))))</f>
        <v>0</v>
      </c>
      <c r="E6" s="36" cm="1">
        <f t="array" ref="E6">AVERAGE(_xlfn._xlws.FILTER('Sub-Clauses Implementation'!$E$4:E$26,VALUE(_xlfn.TEXTBEFORE('Sub-Clauses Implementation'!$B$4:$B$26,"."))=B6," "))</f>
        <v>0</v>
      </c>
      <c r="F6" s="37">
        <f>_xlfn.XLOOKUP(B6,'Gap Analysis Impl. plan'!$B$4:$B$400,'Gap Analysis Impl. plan'!$L$4:$L$400," ")</f>
        <v>0</v>
      </c>
      <c r="G6" s="24"/>
    </row>
    <row r="7" spans="1:7" s="1" customFormat="1" ht="15.5" x14ac:dyDescent="0.35">
      <c r="A7" s="5">
        <v>4</v>
      </c>
      <c r="B7" s="4">
        <v>7</v>
      </c>
      <c r="C7" s="4" t="s">
        <v>21</v>
      </c>
      <c r="D7" s="35" cm="1">
        <f t="array" ref="D7">IF(F7="Completed"," ",IF(MAX(_xlfn._xlws.FILTER('Sub-Clauses Implementation'!$D$4:$D$26,VALUE(_xlfn.TEXTBEFORE('Sub-Clauses Implementation'!$B$4:$B$26,"."))=B7," "))=0," ",MAX(_xlfn._xlws.FILTER('Sub-Clauses Implementation'!$D$4:$D$26,VALUE(_xlfn.TEXTBEFORE('Sub-Clauses Implementation'!$B$4:$B$26,"."))=B7," "))))</f>
        <v>0</v>
      </c>
      <c r="E7" s="36" cm="1">
        <f t="array" ref="E7">AVERAGE(_xlfn._xlws.FILTER('Sub-Clauses Implementation'!$E$4:E$26,VALUE(_xlfn.TEXTBEFORE('Sub-Clauses Implementation'!$B$4:$B$26,"."))=B7," "))</f>
        <v>0</v>
      </c>
      <c r="F7" s="37">
        <f>_xlfn.XLOOKUP(B7,'Gap Analysis Impl. plan'!$B$4:$B$400,'Gap Analysis Impl. plan'!$L$4:$L$400," ")</f>
        <v>0</v>
      </c>
      <c r="G7" s="24"/>
    </row>
    <row r="8" spans="1:7" s="1" customFormat="1" ht="15.5" x14ac:dyDescent="0.35">
      <c r="A8" s="5">
        <v>5</v>
      </c>
      <c r="B8" s="4">
        <v>8</v>
      </c>
      <c r="C8" s="4" t="s">
        <v>22</v>
      </c>
      <c r="D8" s="35" cm="1">
        <f t="array" ref="D8">IF(F8="Completed"," ",IF(MAX(_xlfn._xlws.FILTER('Sub-Clauses Implementation'!$D$4:$D$26,VALUE(_xlfn.TEXTBEFORE('Sub-Clauses Implementation'!$B$4:$B$26,"."))=B8," "))=0," ",MAX(_xlfn._xlws.FILTER('Sub-Clauses Implementation'!$D$4:$D$26,VALUE(_xlfn.TEXTBEFORE('Sub-Clauses Implementation'!$B$4:$B$26,"."))=B8," "))))</f>
        <v>0</v>
      </c>
      <c r="E8" s="36" cm="1">
        <f t="array" ref="E8">AVERAGE(_xlfn._xlws.FILTER('Sub-Clauses Implementation'!$E$4:E$26,VALUE(_xlfn.TEXTBEFORE('Sub-Clauses Implementation'!$B$4:$B$26,"."))=B8," "))</f>
        <v>0</v>
      </c>
      <c r="F8" s="37">
        <f>_xlfn.XLOOKUP(B8,'Gap Analysis Impl. plan'!$B$4:$B$400,'Gap Analysis Impl. plan'!$L$4:$L$400," ")</f>
        <v>0</v>
      </c>
      <c r="G8" s="24"/>
    </row>
    <row r="9" spans="1:7" s="1" customFormat="1" ht="15.5" x14ac:dyDescent="0.35">
      <c r="A9" s="5">
        <v>6</v>
      </c>
      <c r="B9" s="4">
        <v>9</v>
      </c>
      <c r="C9" s="4" t="s">
        <v>23</v>
      </c>
      <c r="D9" s="35" cm="1">
        <f t="array" ref="D9">IF(F9="Completed"," ",IF(MAX(_xlfn._xlws.FILTER('Sub-Clauses Implementation'!$D$4:$D$26,VALUE(_xlfn.TEXTBEFORE('Sub-Clauses Implementation'!$B$4:$B$26,"."))=B9," "))=0," ",MAX(_xlfn._xlws.FILTER('Sub-Clauses Implementation'!$D$4:$D$26,VALUE(_xlfn.TEXTBEFORE('Sub-Clauses Implementation'!$B$4:$B$26,"."))=B9," "))))</f>
        <v>0</v>
      </c>
      <c r="E9" s="36" cm="1">
        <f t="array" ref="E9">AVERAGE(_xlfn._xlws.FILTER('Sub-Clauses Implementation'!$E$4:E$26,VALUE(_xlfn.TEXTBEFORE('Sub-Clauses Implementation'!$B$4:$B$26,"."))=B9," "))</f>
        <v>0</v>
      </c>
      <c r="F9" s="37">
        <f>_xlfn.XLOOKUP(B9,'Gap Analysis Impl. plan'!$B$4:$B$400,'Gap Analysis Impl. plan'!$L$4:$L$400," ")</f>
        <v>0</v>
      </c>
      <c r="G9" s="24"/>
    </row>
    <row r="10" spans="1:7" s="1" customFormat="1" ht="15.5" x14ac:dyDescent="0.35">
      <c r="A10" s="5">
        <v>7</v>
      </c>
      <c r="B10" s="4">
        <v>10</v>
      </c>
      <c r="C10" s="4" t="s">
        <v>24</v>
      </c>
      <c r="D10" s="35" cm="1">
        <f t="array" ref="D10">IF(F10="Completed"," ",IF(MAX(_xlfn._xlws.FILTER('Sub-Clauses Implementation'!$D$4:$D$26,VALUE(_xlfn.TEXTBEFORE('Sub-Clauses Implementation'!$B$4:$B$26,"."))=B10," "))=0," ",MAX(_xlfn._xlws.FILTER('Sub-Clauses Implementation'!$D$4:$D$26,VALUE(_xlfn.TEXTBEFORE('Sub-Clauses Implementation'!$B$4:$B$26,"."))=B10," "))))</f>
        <v>0</v>
      </c>
      <c r="E10" s="36" cm="1">
        <f t="array" ref="E10">AVERAGE(_xlfn._xlws.FILTER('Sub-Clauses Implementation'!$E$4:E$26,VALUE(_xlfn.TEXTBEFORE('Sub-Clauses Implementation'!$B$4:$B$26,"."))=B10," "))</f>
        <v>0</v>
      </c>
      <c r="F10" s="37">
        <f>_xlfn.XLOOKUP(B10,'Gap Analysis Impl. plan'!$B$4:$B$400,'Gap Analysis Impl. plan'!$L$4:$L$400," ")</f>
        <v>0</v>
      </c>
      <c r="G10" s="24"/>
    </row>
    <row r="11" spans="1:7" ht="15" thickBot="1" x14ac:dyDescent="0.4">
      <c r="A11" s="38">
        <v>8</v>
      </c>
      <c r="B11" s="39" t="s">
        <v>516</v>
      </c>
      <c r="C11" s="39" t="s">
        <v>517</v>
      </c>
      <c r="D11" s="40" cm="1">
        <f t="array" ref="D11">IF(F11="Completed"," ",IF(MAX(_xlfn._xlws.FILTER('Sub-Clauses Implementation'!$D$27:$D$30,VALUE(_xlfn.TEXTAFTER('Sub-Clauses Implementation'!$B$27:$B$30,"A."))))=0," ",MAX(_xlfn._xlws.FILTER('Sub-Clauses Implementation'!$D$27:$D$30,VALUE(_xlfn.TEXTAFTER('Sub-Clauses Implementation'!$B$27:$B$30,"A."))))))</f>
        <v>0</v>
      </c>
      <c r="E11" s="138" cm="1">
        <f t="array" ref="E11">AVERAGE(_xlfn._xlws.FILTER('Sub-Clauses Implementation'!$E$27:E$30,VALUE(_xlfn.TEXTAFTER('Sub-Clauses Implementation'!$B$27:$B$30,"A."))))</f>
        <v>0</v>
      </c>
      <c r="F11" s="41">
        <f>_xlfn.XLOOKUP(B11,'Gap Analysis Impl. plan'!$B$4:$B$400,'Gap Analysis Impl. plan'!$L$4:$L$400," ")</f>
        <v>0</v>
      </c>
      <c r="G11" s="182"/>
    </row>
  </sheetData>
  <autoFilter ref="A3:G10" xr:uid="{00000000-0009-0000-0000-000007000000}"/>
  <mergeCells count="2">
    <mergeCell ref="A1:B2"/>
    <mergeCell ref="C1:G2"/>
  </mergeCells>
  <conditionalFormatting sqref="E4:E11">
    <cfRule type="dataBar" priority="1">
      <dataBar>
        <cfvo type="num" val="0"/>
        <cfvo type="num" val="1"/>
        <color rgb="FF63C384"/>
      </dataBar>
      <extLst>
        <ext xmlns:x14="http://schemas.microsoft.com/office/spreadsheetml/2009/9/main" uri="{B025F937-C7B1-47D3-B67F-A62EFF666E3E}">
          <x14:id>{22788B85-F5C1-410C-BB48-62A67A9B8074}</x14:id>
        </ext>
      </extLst>
    </cfRule>
  </conditionalFormatting>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dataBar" id="{22788B85-F5C1-410C-BB48-62A67A9B8074}">
            <x14:dataBar minLength="0" maxLength="100" gradient="0">
              <x14:cfvo type="num">
                <xm:f>0</xm:f>
              </x14:cfvo>
              <x14:cfvo type="num">
                <xm:f>1</xm:f>
              </x14:cfvo>
              <x14:negativeFillColor rgb="FFFF0000"/>
              <x14:axisColor rgb="FF000000"/>
            </x14:dataBar>
          </x14:cfRule>
          <xm:sqref>E4:E11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24"/>
  <sheetViews>
    <sheetView zoomScale="80" zoomScaleNormal="80" workbookViewId="0">
      <selection activeCell="K9" sqref="K9"/>
    </sheetView>
  </sheetViews>
  <sheetFormatPr defaultRowHeight="14.5" x14ac:dyDescent="0.35"/>
  <cols>
    <col min="1" max="1" width="3.1796875" customWidth="1"/>
    <col min="9" max="9" width="120.26953125" customWidth="1"/>
  </cols>
  <sheetData>
    <row r="1" spans="2:9" s="1" customFormat="1" ht="33" customHeight="1" x14ac:dyDescent="0.35">
      <c r="B1" s="176" t="s">
        <v>38</v>
      </c>
      <c r="C1" s="177"/>
      <c r="D1" s="177"/>
      <c r="E1" s="177"/>
      <c r="F1" s="177"/>
      <c r="G1" s="177"/>
      <c r="H1" s="177"/>
      <c r="I1" s="178"/>
    </row>
    <row r="2" spans="2:9" s="1" customFormat="1" ht="33.75" customHeight="1" thickBot="1" x14ac:dyDescent="0.4">
      <c r="B2" s="179"/>
      <c r="C2" s="180"/>
      <c r="D2" s="180"/>
      <c r="E2" s="180"/>
      <c r="F2" s="180"/>
      <c r="G2" s="180"/>
      <c r="H2" s="180"/>
      <c r="I2" s="181"/>
    </row>
    <row r="3" spans="2:9" x14ac:dyDescent="0.35">
      <c r="B3" s="16"/>
      <c r="C3" s="17"/>
      <c r="D3" s="17"/>
      <c r="E3" s="17"/>
      <c r="F3" s="17"/>
      <c r="G3" s="17"/>
      <c r="H3" s="17"/>
      <c r="I3" s="21"/>
    </row>
    <row r="4" spans="2:9" x14ac:dyDescent="0.35">
      <c r="B4" s="18"/>
      <c r="C4" s="15"/>
      <c r="D4" s="15"/>
      <c r="E4" s="15"/>
      <c r="F4" s="15"/>
      <c r="G4" s="15"/>
      <c r="H4" s="15"/>
      <c r="I4" s="22"/>
    </row>
    <row r="5" spans="2:9" x14ac:dyDescent="0.35">
      <c r="B5" s="18"/>
      <c r="C5" s="15"/>
      <c r="D5" s="15"/>
      <c r="E5" s="15"/>
      <c r="F5" s="15"/>
      <c r="G5" s="15"/>
      <c r="H5" s="15"/>
      <c r="I5" s="22"/>
    </row>
    <row r="6" spans="2:9" x14ac:dyDescent="0.35">
      <c r="B6" s="18"/>
      <c r="C6" s="15"/>
      <c r="D6" s="15"/>
      <c r="E6" s="15"/>
      <c r="F6" s="15"/>
      <c r="G6" s="15"/>
      <c r="H6" s="15"/>
      <c r="I6" s="22"/>
    </row>
    <row r="7" spans="2:9" x14ac:dyDescent="0.35">
      <c r="B7" s="18"/>
      <c r="C7" s="15"/>
      <c r="D7" s="15"/>
      <c r="E7" s="15"/>
      <c r="F7" s="15"/>
      <c r="G7" s="15"/>
      <c r="H7" s="15"/>
      <c r="I7" s="22"/>
    </row>
    <row r="8" spans="2:9" x14ac:dyDescent="0.35">
      <c r="B8" s="18"/>
      <c r="C8" s="15"/>
      <c r="D8" s="15"/>
      <c r="E8" s="15"/>
      <c r="F8" s="15"/>
      <c r="G8" s="15"/>
      <c r="H8" s="15"/>
      <c r="I8" s="22"/>
    </row>
    <row r="9" spans="2:9" x14ac:dyDescent="0.35">
      <c r="B9" s="18"/>
      <c r="C9" s="15"/>
      <c r="D9" s="15"/>
      <c r="E9" s="15"/>
      <c r="F9" s="15"/>
      <c r="G9" s="15"/>
      <c r="H9" s="15"/>
      <c r="I9" s="22"/>
    </row>
    <row r="10" spans="2:9" x14ac:dyDescent="0.35">
      <c r="B10" s="18"/>
      <c r="C10" s="15"/>
      <c r="D10" s="15"/>
      <c r="E10" s="15"/>
      <c r="F10" s="15"/>
      <c r="G10" s="15"/>
      <c r="H10" s="15"/>
      <c r="I10" s="22"/>
    </row>
    <row r="11" spans="2:9" x14ac:dyDescent="0.35">
      <c r="B11" s="18"/>
      <c r="C11" s="15"/>
      <c r="D11" s="15"/>
      <c r="E11" s="15"/>
      <c r="F11" s="15"/>
      <c r="G11" s="15"/>
      <c r="H11" s="15"/>
      <c r="I11" s="22"/>
    </row>
    <row r="12" spans="2:9" x14ac:dyDescent="0.35">
      <c r="B12" s="18"/>
      <c r="C12" s="15"/>
      <c r="D12" s="15"/>
      <c r="E12" s="15"/>
      <c r="F12" s="15"/>
      <c r="G12" s="15"/>
      <c r="H12" s="15"/>
      <c r="I12" s="22"/>
    </row>
    <row r="13" spans="2:9" x14ac:dyDescent="0.35">
      <c r="B13" s="18"/>
      <c r="C13" s="15"/>
      <c r="D13" s="15"/>
      <c r="E13" s="15"/>
      <c r="F13" s="15"/>
      <c r="G13" s="15"/>
      <c r="H13" s="15"/>
      <c r="I13" s="22"/>
    </row>
    <row r="14" spans="2:9" x14ac:dyDescent="0.35">
      <c r="B14" s="18"/>
      <c r="C14" s="15"/>
      <c r="D14" s="15"/>
      <c r="E14" s="15"/>
      <c r="F14" s="15"/>
      <c r="G14" s="15"/>
      <c r="H14" s="15"/>
      <c r="I14" s="22"/>
    </row>
    <row r="15" spans="2:9" x14ac:dyDescent="0.35">
      <c r="B15" s="18"/>
      <c r="C15" s="15"/>
      <c r="D15" s="15"/>
      <c r="E15" s="15"/>
      <c r="F15" s="15"/>
      <c r="G15" s="15"/>
      <c r="H15" s="15"/>
      <c r="I15" s="22"/>
    </row>
    <row r="16" spans="2:9" x14ac:dyDescent="0.35">
      <c r="B16" s="18"/>
      <c r="C16" s="15"/>
      <c r="D16" s="15"/>
      <c r="E16" s="15"/>
      <c r="F16" s="15"/>
      <c r="G16" s="15"/>
      <c r="H16" s="15"/>
      <c r="I16" s="22"/>
    </row>
    <row r="17" spans="2:9" x14ac:dyDescent="0.35">
      <c r="B17" s="18"/>
      <c r="C17" s="15"/>
      <c r="D17" s="15"/>
      <c r="E17" s="15"/>
      <c r="F17" s="15"/>
      <c r="G17" s="15"/>
      <c r="H17" s="15"/>
      <c r="I17" s="22"/>
    </row>
    <row r="18" spans="2:9" x14ac:dyDescent="0.35">
      <c r="B18" s="18"/>
      <c r="C18" s="15"/>
      <c r="D18" s="15"/>
      <c r="E18" s="15"/>
      <c r="F18" s="15"/>
      <c r="G18" s="15"/>
      <c r="H18" s="15"/>
      <c r="I18" s="22"/>
    </row>
    <row r="19" spans="2:9" x14ac:dyDescent="0.35">
      <c r="B19" s="18"/>
      <c r="C19" s="15"/>
      <c r="D19" s="15"/>
      <c r="E19" s="15"/>
      <c r="F19" s="15"/>
      <c r="G19" s="15"/>
      <c r="H19" s="15"/>
      <c r="I19" s="22"/>
    </row>
    <row r="20" spans="2:9" x14ac:dyDescent="0.35">
      <c r="B20" s="18"/>
      <c r="C20" s="15"/>
      <c r="D20" s="15"/>
      <c r="E20" s="15"/>
      <c r="F20" s="15"/>
      <c r="G20" s="15"/>
      <c r="H20" s="15"/>
      <c r="I20" s="22"/>
    </row>
    <row r="21" spans="2:9" x14ac:dyDescent="0.35">
      <c r="B21" s="18"/>
      <c r="C21" s="15"/>
      <c r="D21" s="15"/>
      <c r="E21" s="15"/>
      <c r="F21" s="15"/>
      <c r="G21" s="15"/>
      <c r="H21" s="15"/>
      <c r="I21" s="22"/>
    </row>
    <row r="22" spans="2:9" x14ac:dyDescent="0.35">
      <c r="B22" s="18"/>
      <c r="C22" s="15"/>
      <c r="D22" s="15"/>
      <c r="E22" s="15"/>
      <c r="F22" s="15"/>
      <c r="G22" s="15"/>
      <c r="H22" s="15"/>
      <c r="I22" s="22"/>
    </row>
    <row r="23" spans="2:9" x14ac:dyDescent="0.35">
      <c r="B23" s="18"/>
      <c r="C23" s="15"/>
      <c r="D23" s="15"/>
      <c r="E23" s="15"/>
      <c r="F23" s="15"/>
      <c r="G23" s="15"/>
      <c r="H23" s="15"/>
      <c r="I23" s="22"/>
    </row>
    <row r="24" spans="2:9" ht="15" thickBot="1" x14ac:dyDescent="0.4">
      <c r="B24" s="19"/>
      <c r="C24" s="20"/>
      <c r="D24" s="20"/>
      <c r="E24" s="20"/>
      <c r="F24" s="20"/>
      <c r="G24" s="20"/>
      <c r="H24" s="20"/>
      <c r="I24" s="23"/>
    </row>
  </sheetData>
  <mergeCells count="1">
    <mergeCell ref="B1:I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A5"/>
  <sheetViews>
    <sheetView workbookViewId="0"/>
  </sheetViews>
  <sheetFormatPr defaultRowHeight="14.5"/>
  <cols>
    <col min="1" max="1" width="110" customWidth="1"/>
  </cols>
  <sheetData>
    <row r="1">
      <c r="A1" t="inlineStr">
        <is>
          <t xml:space="preserve">Transition (not applicable)</t>
        </is>
      </c>
    </row>
    <row r="3">
      <c r="A3" t="inlineStr">
        <is>
          <t xml:space="preserve">This sheet exists only to keep the MSM gap analysis tool family structure.</t>
        </is>
      </c>
    </row>
    <row r="4">
      <c r="A4" t="inlineStr">
        <is>
          <t xml:space="preserve">The transition from ISO/IEC 27001:2013 to ISO/IEC 27001:2022 closed in October 2025.</t>
        </is>
      </c>
    </row>
    <row r="5">
      <c r="A5" t="inlineStr">
        <is>
          <t xml:space="preserve">It is historical, not used in a new ISO/IEC 27001:2022 implementation, and excluded from all progress calculations.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Findings Criteria</vt:lpstr>
      <vt:lpstr>Gap Analysis Checklist</vt:lpstr>
      <vt:lpstr>Gap Analysis Impl. plan</vt:lpstr>
      <vt:lpstr>Sub-Clauses Implementation</vt:lpstr>
      <vt:lpstr>Main Clauses Implementation</vt:lpstr>
      <vt:lpstr>Implementation Progress Charts </vt:lpstr>
      <vt:lpstr>Transition (N-A, historical)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Ammar ASQ</cp:lastModifiedBy>
  <cp:revision/>
  <dcterms:created xsi:type="dcterms:W3CDTF">2023-10-09T19:43:01Z</dcterms:created>
  <dcterms:modified xsi:type="dcterms:W3CDTF">2025-07-22T12:47:23Z</dcterms:modified>
  <cp:category/>
  <cp:contentStatus/>
</cp:coreProperties>
</file>